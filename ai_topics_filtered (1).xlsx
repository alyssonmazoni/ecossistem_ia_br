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ai_topics" sheetId="1" r:id="rId4"/>
    <sheet state="visible" name="curated" sheetId="2" r:id="rId5"/>
    <sheet state="visible" name="Página2" sheetId="3" r:id="rId6"/>
  </sheets>
  <definedNames>
    <definedName hidden="1" localSheetId="0" name="_xlnm._FilterDatabase">'Sheet 1 - ai_topics'!$A$1:$AA$999</definedName>
  </definedNames>
  <calcPr/>
  <extLst>
    <ext uri="GoogleSheetsCustomDataVersion2">
      <go:sheetsCustomData xmlns:go="http://customooxmlschemas.google.com/" r:id="rId7" roundtripDataChecksum="gn/OrjwUG3o9awlVe2ZhpTHQYN51ti5m53IT1aUJitg="/>
    </ext>
  </extLst>
</workbook>
</file>

<file path=xl/sharedStrings.xml><?xml version="1.0" encoding="utf-8"?>
<sst xmlns="http://schemas.openxmlformats.org/spreadsheetml/2006/main" count="517" uniqueCount="190">
  <si>
    <t>Fica ou sai da lista?</t>
  </si>
  <si>
    <t>Fica ou sai da lista? Enio</t>
  </si>
  <si>
    <t>igual?</t>
  </si>
  <si>
    <t>Nome do Cluster de Artigos</t>
  </si>
  <si>
    <t>Descrição</t>
  </si>
  <si>
    <t>topic_id</t>
  </si>
  <si>
    <t>works</t>
  </si>
  <si>
    <t>br_works</t>
  </si>
  <si>
    <t>largest_source_id</t>
  </si>
  <si>
    <t>largest_source</t>
  </si>
  <si>
    <t>most_cited_source_id</t>
  </si>
  <si>
    <t>most_cited_source</t>
  </si>
  <si>
    <t>fica</t>
  </si>
  <si>
    <t>AI and Big Data Applications</t>
  </si>
  <si>
    <t>This cluster of papers covers a wide range of topics related to smart technology and data analytics applications, including artificial intelligence, internet of things, deep learning, wireless sensor networks, big data analytics, computer network security, virtual reality technology, cloud computing, and smart city technology. The papers explore the integration of advanced technologies in various domains such as healthcare monitoring systems, renewable energy generation, disaster response systems, intelligent transportation, education, and environmental monitoring.</t>
  </si>
  <si>
    <t>Applied Mathematics and Nonlinear Sciences</t>
  </si>
  <si>
    <t>PLoS ONE</t>
  </si>
  <si>
    <t>sai</t>
  </si>
  <si>
    <t>AI and Multimedia in Education</t>
  </si>
  <si>
    <t>This cluster of papers focuses on the optimization of big data processing and analysis, covering topics such as big data scheduling, fractal encoding, visual tracking, wireless sensor networks, machine learning, internet of things, image compression, artificial intelligence, data mining, and parallel computing.</t>
  </si>
  <si>
    <t>Artificial Intelligence and Decision Support Systems</t>
  </si>
  <si>
    <t>This cluster of papers covers a wide range of topics related to smart systems and IoT applications, including machine learning, smart cities, health monitoring, blockchain technology, Arduino, data analysis, environmental monitoring, artificial intelligence, and electric vehicles.</t>
  </si>
  <si>
    <t>Journal of Physics Conference Series</t>
  </si>
  <si>
    <t>Scientific Reports</t>
  </si>
  <si>
    <t>Artificial Intelligence Applications</t>
  </si>
  <si>
    <t>This cluster of papers covers a wide range of topics related to artificial intelligence, technology innovation, and their impact on various domains such as business, healthcare, education, and social governance. It includes discussions on neural networks, deep learning, machine learning, digital transformation, data mining, robotics, and the internet of things.</t>
  </si>
  <si>
    <t>Artificial Intelligence in Education</t>
  </si>
  <si>
    <t>This cluster of papers explores the intersection of education and technology, focusing on topics such as artificial intelligence in educational systems, distance learning, depression diagnosis using neural networks and fuzzy logic, e-learning platforms, and pedagogical innovation. It also delves into the application of digital technologies in teaching and learning processes, knowledge management in educational settings, and the impact of digital transformation on education.</t>
  </si>
  <si>
    <t>Informatics in school</t>
  </si>
  <si>
    <t>Applied Optics</t>
  </si>
  <si>
    <t>Data Mining and Machine Learning Applications</t>
  </si>
  <si>
    <t>This cluster of papers covers a wide range of applications of data mining, including the use of classification algorithms, neural networks, clustering methods, predictive modeling, artificial intelligence, backpropagation algorithm, association rule method, K-means clustering, and Naive Bayes classifier in various domains such as agriculture, education, healthcare, and business.</t>
  </si>
  <si>
    <t>eProceedings of Engineering</t>
  </si>
  <si>
    <t>Smart Systems and Machine Learning</t>
  </si>
  <si>
    <t>This cluster of papers focuses on cognitive radio networks, machine learning, and smart technologies for applications such as spectrum handovers, smart farming, urban sustainability, IoT, and wireless sensor networks. It also addresses security techniques, energy efficiency, and social awareness in the context of cognitive radio networks.</t>
  </si>
  <si>
    <t>Impact of AI and Big Data on Business and Society</t>
  </si>
  <si>
    <t>This cluster of papers focuses on the application of data-driven decision-making, big data analytics, and artificial intelligence in smart manufacturing systems. It explores topics such as Internet of Things, sustainable industry 4.0, machine learning algorithms, real-time process monitoring, and supply chain management in the context of smart factories and cyber-physical systems.</t>
  </si>
  <si>
    <t>Sustainability</t>
  </si>
  <si>
    <t>Sai</t>
  </si>
  <si>
    <t>Educational Robotics and Engineering</t>
  </si>
  <si>
    <t>This cluster of papers focuses on robotics programming education for elementary and junior high school students, university education, and mechatronics education. It emphasizes self-directed learning, creative activity, and the development of learning environments fostering creativity. The papers also discuss the educational effects of participation in robot competitions and the application of control engineering in teaching materials.</t>
  </si>
  <si>
    <t>The Proceedings of JSME annual Conference on Robotics and Mechatronics (Robomec)</t>
  </si>
  <si>
    <t>The Journal of Immunology</t>
  </si>
  <si>
    <t>Internet of Things and AI</t>
  </si>
  <si>
    <t>This cluster of papers explores a wide range of topics related to the Internet of Things (IoT), including applications, challenges, and advancements in areas such as machine learning, security, healthcare, cloud computing, artificial intelligence, wireless sensor networks, big data analytics, cybersecurity, and smart cities.</t>
  </si>
  <si>
    <t>2022 2nd International Conference on Advance Computing and Innovative Technologies in Engineering (ICACITE)</t>
  </si>
  <si>
    <t>AI and HR Technologies</t>
  </si>
  <si>
    <t>This cluster of papers focuses on the application of big data, analytics, and machine learning in human resource management. It covers topics such as employee turnover prediction, talent management, workforce planning, and the use of data-driven decision-making to enhance organizational performance.</t>
  </si>
  <si>
    <t>Academy of Management Proceedings</t>
  </si>
  <si>
    <t>Law, AI, and Intellectual Property</t>
  </si>
  <si>
    <t>This cluster of papers explores the intersection of cyberbiosecurity, artificial intelligence, and legal implications, focusing on regulatory challenges, ethical issues, and innovation policy. It discusses the emerging discipline of cyberbiosecurity to safeguard the bioeconomy, the impact of AI technology on patent law, and the digitalization of legal fields. The papers also address copyright protection for AI-generated works and the role of technology in biological disaster management.</t>
  </si>
  <si>
    <t>Deleted Journal</t>
  </si>
  <si>
    <t>Nature</t>
  </si>
  <si>
    <t>Law, Ethics, and AI Impact</t>
  </si>
  <si>
    <t>This cluster of papers explores the mutual impact of organizational culture and structure, with a focus on entrepreneurship, digital activism, ethical guidelines, leadership development, and nuclear energy policy. It also delves into the impact of organizational culture on human resource practices and health care reform. The papers analyze the role of social media in various contexts and discuss the implications of digital innovation on traditional organizational cultures.</t>
  </si>
  <si>
    <t>Fica</t>
  </si>
  <si>
    <t>Machine Learning in Healthcare</t>
  </si>
  <si>
    <t>This cluster of papers focuses on the application of deep learning techniques in healthcare, particularly in the analysis of electronic health records (EHR). The papers cover a wide range of topics including predictive modeling, patient similarity, disease risk prediction, medical concept embedding, and temporal data analysis. The goal is to leverage deep learning to improve healthcare decision-making and enable precision medicine.</t>
  </si>
  <si>
    <t>Multimodal Machine Learning Applications</t>
  </si>
  <si>
    <t>This cluster of papers focuses on the development and improvement of visual question answering systems, image captioning techniques, and neural networks for understanding and generating descriptions of images and videos. The research involves semantic reasoning, multimodal fusion, scene graph generation, attention mechanisms, and deep learning approaches to bridge the gap between vision and language.</t>
  </si>
  <si>
    <t>2022 IEEE/CVF Conference on Computer Vision and Pattern Recognition (CVPR)</t>
  </si>
  <si>
    <t>Artificial Intelligence in Law</t>
  </si>
  <si>
    <t>This cluster of papers focuses on the application of predictive legal technology, including machine learning, natural language processing, and artificial intelligence, to forecast judicial decisions in various courts. The topics also cover the use of big data and behavior control in legal contexts, as well as the ethical implications of integrating technology into the legal profession.</t>
  </si>
  <si>
    <t>Artificial Intelligence and Law</t>
  </si>
  <si>
    <t>Explainable Artificial Intelligence (XAI)</t>
  </si>
  <si>
    <t>This cluster of papers focuses on Explainable Artificial Intelligence (XAI) and the development of interpretable models, visual explanations, and responsible machine learning interpretability. It explores concepts, challenges, and opportunities in XAI, including the use of gradient-based localization, understanding deep neural networks, feature importance, and addressing black box models. The papers also discuss the responsibility and ethical considerations in AI.</t>
  </si>
  <si>
    <t>Proceedings of the AAAI Conference on Artificial Intelligence</t>
  </si>
  <si>
    <t>Micro and Nano Robotics</t>
  </si>
  <si>
    <t>This cluster of papers explores the hydrodynamics, self-propulsion, and collective behavior of active matter, including swimming microorganisms, colloidal particles, and nanomotors. It covers a wide range of topics such as biomedical applications, catalytic nanomotors, fluid dynamics, and the interactions of active particles in complex environments.</t>
  </si>
  <si>
    <t>Soft Matter</t>
  </si>
  <si>
    <t>Soft Robotics and Applications</t>
  </si>
  <si>
    <t>This cluster of papers focuses on the design, fabrication, and control of soft robotic systems, with applications in areas such as minimally invasive surgery, bioinspired robotics, continuum robots, and pneumatic actuators. The research covers topics such as kinematic modeling, robotic manipulators, and biomedical applications of soft robotics.</t>
  </si>
  <si>
    <t>IEEE Robotics and Automation Letters</t>
  </si>
  <si>
    <t>Advanced Graph Neural Networks</t>
  </si>
  <si>
    <t>This cluster of papers focuses on the development, applications, and techniques related to Graph Neural Networks (GNNs) and their variants. It covers topics such as knowledge graph embedding, representation learning, network embedding, deep learning, graph convolutional networks, heterogeneous networks, relational data modeling, signal processing on graphs, and semi-supervised learning.</t>
  </si>
  <si>
    <t>IEEE Transactions on Knowledge and Data Engineering</t>
  </si>
  <si>
    <t>Proceedings of the National Academy of Sciences</t>
  </si>
  <si>
    <t>Adversarial Robustness in Machine Learning</t>
  </si>
  <si>
    <t>This cluster of papers focuses on the robustness of deep learning models against adversarial attacks, exploring topics such as adversarial examples, security, uncertainty estimation, defenses, and verification. It delves into the challenges and potential solutions for ensuring the resilience of neural networks in the face of malicious inputs.</t>
  </si>
  <si>
    <t>Ethics and Social Impacts of AI</t>
  </si>
  <si>
    <t>This cluster of papers explores the ethical implications of artificial intelligence, focusing on fairness, algorithmic bias, and accountability in the context of big data, machine learning, and surveillance. It delves into topics such as the societal impact of AI, discrimination in algorithms, transparency in decision-making processes, and the challenges of ensuring fairness and ethics in AI applications.</t>
  </si>
  <si>
    <t>AI &amp; Society</t>
  </si>
  <si>
    <t>Digital Image Processing Techniques</t>
  </si>
  <si>
    <t>This cluster of papers focuses on connected component labeling algorithms, digital tomography, and discrete geometry. It covers topics such as fast labeling algorithms, curvature estimation, topology preservation, and GPU implementation for processing binary images on hexagonal lattices.</t>
  </si>
  <si>
    <t>Proceedings of SPIE, the International Society for Optical Engineering/Proceedings of SPIE</t>
  </si>
  <si>
    <t>AI in Service Interactions</t>
  </si>
  <si>
    <t>This cluster of papers explores the impact of artificial intelligence, service robots, and chatbots on the service industry, focusing on customer experience, hospitality, marketing, voice assistants, human-robot interaction, and technology adoption.</t>
  </si>
  <si>
    <t>International Journal of Social Robotics</t>
  </si>
  <si>
    <t>Artificial Intelligence in Healthcare</t>
  </si>
  <si>
    <t>This cluster of papers focuses on the application of machine learning, big data analytics, and data mining techniques in healthcare and medicine. It covers topics such as medical diagnosis, classification models, heart disease prediction, and the use of support vector machines and logistic regression. The cluster emphasizes the potential of machine learning in improving healthcare outcomes through advanced data analysis.</t>
  </si>
  <si>
    <t>IEEE Access</t>
  </si>
  <si>
    <t>Satellite Image Processing and Photogrammetry</t>
  </si>
  <si>
    <t>This cluster of papers focuses on the geometric processing and accuracy assessment of remote sensing imagery, particularly from high-resolution satellite sensors. Topics include rational function models, orthorectification, DEM generation, sensor calibration, and geopositioning accuracy.</t>
  </si>
  <si>
    <t>Machine Learning and ELM</t>
  </si>
  <si>
    <t>This cluster of papers focuses on the theory, applications, and advancements in Extreme Learning Machines (ELM), a machine learning framework based on feedforward neural networks with random hidden nodes. The papers cover topics such as incremental learning, classification, regression, ensemble methods, kernel-based models, and their applications in various domains.</t>
  </si>
  <si>
    <t>Neurocomputing</t>
  </si>
  <si>
    <t>Neural Networks Stability and Synchronization</t>
  </si>
  <si>
    <t>This cluster of papers focuses on the synchronization of complex dynamical networks, particularly addressing topics such as pinning control, global stability, time delays, impulsive control, and stochasticity in neural networks and memristor-based networks.</t>
  </si>
  <si>
    <t>Image Processing and 3D Reconstruction</t>
  </si>
  <si>
    <t>This cluster of papers focuses on the automated reconstruction of fragmented objects, including archaeological artifacts, pottery, and shredded documents. It involves techniques such as image matching, jigsaw puzzle solving, 3D scanning, and computerized classification to reassemble and analyze fragmented cultural heritage objects.</t>
  </si>
  <si>
    <t>Machine Learning and Algorithms</t>
  </si>
  <si>
    <t>This cluster of papers revolves around the topic of active learning in machine learning research. It covers various aspects such as semi-supervised learning, deep learning, Gaussian processes, image classification, text categorization, batch mode active learning, statistical guarantees, and human-in-the-loop approaches.</t>
  </si>
  <si>
    <t>Neural Information Processing Systems</t>
  </si>
  <si>
    <t>Robotics and Automated Systems</t>
  </si>
  <si>
    <t>This cluster of papers encompasses a wide range of research on cloud robotics, automation, and related technologies. It covers topics such as cloud robotics architecture, challenges, and applications, internet of robotic things, cognitive infocommunications, service robots in cloud computing, virtual reality for robotics, and the integration of artificial intelligence in robotic systems. The research also explores the use of cloud robotics in smart city applications and emphasizes human-robot interaction.</t>
  </si>
  <si>
    <t>Computability, Logic, AI Algorithms</t>
  </si>
  <si>
    <t>This cluster of papers explores topics in computational complexity and algorithmic information theory, including Kolmogorov complexity, randomness, Turing machines, compression-based distance measures, universal intelligence, computational depth, fractal dimension, and causal discovery.</t>
  </si>
  <si>
    <t>Journal of Symbolic Logic</t>
  </si>
  <si>
    <t>?</t>
  </si>
  <si>
    <t>Artificial Intelligence in Healthcare and Education</t>
  </si>
  <si>
    <t>This cluster of papers explores the intersection of artificial intelligence and medicine, focusing on applications in healthcare, medical imaging, clinical decision support, and the ethical challenges associated with AI implementation. It delves into topics such as machine learning, big data, precision medicine, and the potential impact of AI on health equity.</t>
  </si>
  <si>
    <t>Cureus</t>
  </si>
  <si>
    <t>Neural Networks and Reservoir Computing</t>
  </si>
  <si>
    <t>This cluster of papers focuses on the application of photonic reservoir computing for neural computation, machine learning, and information processing. It explores the use of semiconductor lasers, neuromorphic photonics, and optical neural networks, as well as the implementation of echo state networks and nonlinear dynamics in photonic systems.</t>
  </si>
  <si>
    <t>Image Processing Techniques and Applications</t>
  </si>
  <si>
    <t>This cluster of papers focuses on the development and evaluation of autofocusing algorithms for microscopy and digital cameras, with applications in depth estimation, shape reconstruction, and tuberculosis detection. It also explores techniques such as shape from focus, defocus, and image processing methods for accurate autofocusing in various imaging systems.</t>
  </si>
  <si>
    <t>Reinforcement Learning in Robotics</t>
  </si>
  <si>
    <t>This cluster of papers encompasses a wide range of advancements in reinforcement learning algorithms and their applications, including deep learning, neural networks, robotics, autonomous control, policy gradient methods, multi-agent systems, model-based learning, curiosity-driven exploration, and simulation to real-world transfer.</t>
  </si>
  <si>
    <t>2021 IEEE/RSJ International Conference on Intelligent Robots and Systems (IROS)</t>
  </si>
  <si>
    <t>Machine Learning in Materials Science</t>
  </si>
  <si>
    <t>This cluster of papers focuses on the application of materials informatics, machine learning, and high-throughput computational techniques to accelerate materials innovation. It encompasses topics such as property predictions, crystal structures, molecular dynamics, and data mining in the context of materials science and engineering.</t>
  </si>
  <si>
    <t>The Journal of Chemical Physics</t>
  </si>
  <si>
    <t>AI-based Problem Solving and Planning</t>
  </si>
  <si>
    <t>This cluster of papers focuses on artificial intelligence planning and reasoning, covering topics such as planning systems, heuristic search, case-based reasoning, temporal planning, knowledge-based systems, robot control, model-based programming, probabilistic plan recognition, cognitive architecture, and autonomous systems.</t>
  </si>
  <si>
    <t>National Conference on Artificial Intelligence</t>
  </si>
  <si>
    <t>Aging and Gerontology Research</t>
  </si>
  <si>
    <t>This cluster of papers explores the influence of aging on emotional experience, cognition, and well-being, with a focus on successful aging, ageism, wisdom, and memory. It delves into topics such as the positivity effect in attention and memory, emotional memory in older adults, age-related differences in affect, and the impact of stereotype embodiment. The papers also discuss the role of social relationships, motivation, and subjective well-being in the context of aging.</t>
  </si>
  <si>
    <t>Innovation in Aging</t>
  </si>
  <si>
    <t>Artificial Intelligence in Games</t>
  </si>
  <si>
    <t>This cluster of papers focuses on the research and development of artificial intelligence techniques for games, including Monte Carlo Tree Search, procedural content generation, interactive storytelling, player modeling, real-time strategy games, computational creativity, behavior trees, general game playing, and level generation.</t>
  </si>
  <si>
    <t>Proceedings of the AAAI Conference on Artificial Intelligence and Interactive Digital Entertainment</t>
  </si>
  <si>
    <t>Prosthetics and Rehabilitation Robotics</t>
  </si>
  <si>
    <t>This cluster of papers focuses on the advancements in lower limb exoskeleton robotics, including topics such as exoskeleton design, control strategies, rehabilitation applications, biomechanics of gait, and prosthetic orthoses. The research covers a wide range of areas related to the development and application of robotic devices for lower limb assistance and rehabilitation.</t>
  </si>
  <si>
    <t>Model Reduction and Neural Networks</t>
  </si>
  <si>
    <t>This cluster of papers focuses on the development and application of physics-informed neural networks for scientific computing, particularly in the context of solving partial differential equations, model reduction, fluid dynamics, dynamic mode decomposition, and nonlinear systems. The research explores the integration of deep learning techniques with traditional numerical methods to address complex problems in physics-based modeling and simulation.</t>
  </si>
  <si>
    <t>Journal of Computational Physics</t>
  </si>
  <si>
    <t>Biomedical Text Mining and Ontologies</t>
  </si>
  <si>
    <t>This cluster of papers focuses on the development and application of biomedical ontologies, text mining, and natural language processing techniques to extract and integrate knowledge from biomedical literature. It encompasses topics such as gene annotation, disease integration, phenotype ontology, data integration, and the use of semantic web technologies in knowledge management.</t>
  </si>
  <si>
    <t>Journal of Biomedical Informatics</t>
  </si>
  <si>
    <t>Machine Learning in Bioinformatics</t>
  </si>
  <si>
    <t>This cluster of papers focuses on the prediction of protein subcellular localization using various computational methods such as amino acid composition, machine learning algorithms like support vector machines, and the analysis of signal peptides and transmembrane topology. The research aims to improve the accuracy and reliability of predicting the subcellular location of proteins, which has significant implications for understanding protein function and cellular processes.</t>
  </si>
  <si>
    <t>Bioinformatics</t>
  </si>
  <si>
    <t>Advanced Image Processing Techniques</t>
  </si>
  <si>
    <t>This cluster of papers focuses on the development and application of single image super-resolution techniques, utilizing deep learning methods such as convolutional networks, generative adversarial networks, and sparse representation. The cluster also covers related topics such as deblurring, video enhancement, and applications in medical imaging.</t>
  </si>
  <si>
    <t>Hydrological Forecasting Using AI</t>
  </si>
  <si>
    <t>This cluster of papers focuses on the application of machine learning methods, such as artificial neural networks, support vector machines, and wavelet analysis, in hydrological modeling and forecasting for water resources management. The papers cover topics including rainfall-runoff modeling, groundwater level forecasting, river flow prediction, and water quality modeling.</t>
  </si>
  <si>
    <t>Journal of Hydrology</t>
  </si>
  <si>
    <t>Rough Sets and Fuzzy Logic</t>
  </si>
  <si>
    <t>This cluster of papers explores the theory and applications of rough sets, granular computing, feature selection, decision analysis, information granulation, fuzzy rough sets, concept lattices, knowledge reduction, three-way decisions, and probabilistic rough sets in various domains.</t>
  </si>
  <si>
    <t>Fuzzy Sets and Systems</t>
  </si>
  <si>
    <t>Machine Learning and Data Classification</t>
  </si>
  <si>
    <t>This cluster of papers focuses on the challenges and techniques for learning with noisy labels in machine learning, including methods for hyperparameter optimization, instance selection, robust learning, and automated machine learning. It also explores the use of meta-learning and deep neural networks in handling noisy label problems, particularly in the context of classification tasks and learning from positive and unlabeled data.</t>
  </si>
  <si>
    <t>Multi-Agent Systems and Negotiation</t>
  </si>
  <si>
    <t>This cluster of papers focuses on methods and techniques for agent-based modeling, encompassing topics such as multi-agent systems, argumentation frameworks, software engineering, simulation, negotiation, artificial intelligence, dialectical argumentation, formal methods, and social simulation.</t>
  </si>
  <si>
    <t>Adaptive Agents and Multi-Agents Systems</t>
  </si>
  <si>
    <t>COVID-19 diagnosis using AI</t>
  </si>
  <si>
    <t>This cluster of papers focuses on the application of deep learning, particularly convolutional neural networks, in medical imaging for the detection and diagnosis of COVID-19, pneumonia, and other thoracic diseases using chest X-ray and CT scan images. The research explores the use of artificial intelligence, transfer learning, and image-based deep learning techniques to develop automated systems for accurate medical diagnoses.</t>
  </si>
  <si>
    <t>Smart Agriculture and AI</t>
  </si>
  <si>
    <t>This cluster of papers focuses on the advancements in precision agriculture technologies, including the use of deep learning, machine learning, and image processing for plant disease detection, crop yield prediction, and environmental monitoring. It also explores the integration of Internet of Things (IoT) and wireless sensor networks in smart farming, as well as the application of agricultural robotics for automated tasks. The research emphasizes the potential of these technologies to revolutionize farming practices and contribute to sustainable agriculture.</t>
  </si>
  <si>
    <t>Computers and Electronics in Agriculture</t>
  </si>
  <si>
    <t>Radiomics and Machine Learning in Medical Imaging</t>
  </si>
  <si>
    <t>This cluster of papers focuses on the application of radiomics, a quantitative analysis of medical images, particularly in the context of cancer imaging and precision medicine. It explores the extraction of advanced features from medical images, the use of machine learning for predictive modeling, and the assessment of tumor heterogeneity through texture analysis.</t>
  </si>
  <si>
    <t>Medical Physics</t>
  </si>
  <si>
    <t>AI in cancer detection</t>
  </si>
  <si>
    <t>This cluster of papers focuses on the application of deep learning and machine learning techniques in medical image analysis, particularly in the context of histopathology images, digital pathology, and computer-aided detection for breast cancer diagnosis. The use of convolutional neural networks and whole slide imaging is prominent in these studies, aiming to improve accuracy and efficiency in cancer prognosis and prediction.</t>
  </si>
  <si>
    <t>Fuzzy Logic and Control Systems</t>
  </si>
  <si>
    <t>This cluster of papers focuses on the theory, design, and applications of Type-2 Fuzzy Logic Systems, including Interval Type-2 Fuzzy Logic. It covers topics such as neuro-fuzzy methods, genetic fuzzy systems, system identification, control systems, machine learning, and pattern recognition.</t>
  </si>
  <si>
    <t>Robotics and Sensor-Based Localization</t>
  </si>
  <si>
    <t>This cluster of papers focuses on Simultaneous Localization and Mapping (SLAM) techniques, including visual odometry, 3D mapping, and graph optimization for mobile robots and autonomous systems. It covers various aspects such as monocular SLAM, RGB-D cameras, point cloud processing, and real-time implementation for accurate localization and mapping.</t>
  </si>
  <si>
    <t>Paleontology and Evolutionary Biology</t>
  </si>
  <si>
    <t>This cluster of papers explores the evolutionary history, diversity, and phylogenetic analysis of dinosaurs, including birds, sauropods, theropods, and other related taxa. It covers topics such as fossil discoveries, morphological studies, molecular phylogeny, and the ecological and environmental context of dinosaur evolution.</t>
  </si>
  <si>
    <t>Journal of Vertebrate Paleontology</t>
  </si>
  <si>
    <t>Natural Language Processing Techniques</t>
  </si>
  <si>
    <t>This cluster of papers focuses on statistical machine translation, neural machine translation, dependency parsing, word sense disambiguation, and part-of-speech tagging. It also covers topics such as corpus linguistics, syntax-based translation models, multilingual neural machine translation, and language modeling.</t>
  </si>
  <si>
    <t>Language Resources and Evaluation</t>
  </si>
  <si>
    <t>Semantic Web and Ontologies</t>
  </si>
  <si>
    <t>This cluster of papers focuses on the Semantic Web, ontology development, and related technologies such as Linked Data, RDF, OWL, schema matching, SPARQL, and knowledge representation. It covers topics like data integration, description logics, and the use of ontologies for information retrieval and knowledge management.</t>
  </si>
  <si>
    <t>Neural Networks and Applications</t>
  </si>
  <si>
    <t>This cluster of papers covers a wide range of topics related to neural networks, including backpropagation learning, self-organizing maps, radial basis function networks, deep learning, and applications such as pattern classification and function approximation.</t>
  </si>
  <si>
    <t>Paleontology and Stratigraphy of Fossils</t>
  </si>
  <si>
    <t>This cluster of papers focuses on the use of trace metals, isotopes, and biogeochemical indicators to reconstruct paleoredox conditions and paleoproductivity in ancient oceans. It explores topics such as oceanic anoxic events, atmospheric oxygenation, biogeochemical cycling, and their implications for Phanerozoic climate and mass extinctions.</t>
  </si>
  <si>
    <t>Palaeogeography Palaeoclimatology Palaeoecology</t>
  </si>
  <si>
    <t>Evolution and Paleontology Studies</t>
  </si>
  <si>
    <t>This cluster of papers explores the evolutionary dynamics, diversification rates, and adaptive radiations of mammals and their ancestors. It delves into topics such as phylogenetic comparative analysis, speciation and extinction patterns, biogeography, molecular phylogeny, body size evolution, and the impact of Cenozoic climatic changes on mammalian evolution.</t>
  </si>
  <si>
    <t>topic</t>
  </si>
  <si>
    <t>description</t>
  </si>
  <si>
    <t>Nome do grupo de publicações</t>
  </si>
  <si>
    <t>identificador OpenAlex</t>
  </si>
  <si>
    <t>trabalhos</t>
  </si>
  <si>
    <t>com autores brasileiros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</si>
</sst>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Helvetica Neue"/>
      <scheme val="minor"/>
    </font>
    <font>
      <b/>
      <sz val="10.0"/>
      <color rgb="FF000000"/>
      <name val="Helvetica Neue"/>
    </font>
    <font>
      <sz val="10.0"/>
      <color rgb="FF000000"/>
      <name val="Helvetica Neue"/>
    </font>
  </fonts>
  <fills count="7">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
      <patternFill patternType="solid">
        <fgColor rgb="FFFFB1A6"/>
        <bgColor rgb="FFFFB1A6"/>
      </patternFill>
    </fill>
    <fill>
      <patternFill patternType="solid">
        <fgColor rgb="FFFFD932"/>
        <bgColor rgb="FFFFD932"/>
      </patternFill>
    </fill>
  </fills>
  <borders count="18">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A5A5A5"/>
      </right>
      <top style="thin">
        <color rgb="FFA5A5A5"/>
      </top>
    </border>
    <border>
      <left style="thin">
        <color rgb="FFA5A5A5"/>
      </left>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style="thin">
        <color rgb="FF3F3F3F"/>
      </left>
    </border>
    <border>
      <left style="thin">
        <color rgb="FF3F3F3F"/>
      </left>
      <right style="thin">
        <color rgb="FFA5A5A5"/>
      </right>
      <top style="thin">
        <color rgb="FFA5A5A5"/>
      </top>
      <bottom style="thin">
        <color rgb="FFA5A5A5"/>
      </bottom>
    </border>
    <border>
      <left style="thin">
        <color rgb="FFA5A5A5"/>
      </left>
      <right style="thin">
        <color rgb="FF3F3F3F"/>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3F3F3F"/>
      </right>
      <top style="thin">
        <color rgb="FF3F3F3F"/>
      </top>
      <bottom style="thin">
        <color rgb="FFA5A5A5"/>
      </bottom>
    </border>
    <border>
      <left style="thin">
        <color rgb="FF3F3F3F"/>
      </left>
      <bottom style="thin">
        <color rgb="FFA5A5A5"/>
      </bottom>
    </border>
    <border>
      <left style="thin">
        <color rgb="FF3F3F3F"/>
      </left>
      <right style="thin">
        <color rgb="FF3F3F3F"/>
      </right>
      <top style="thin">
        <color rgb="FFA5A5A5"/>
      </top>
      <bottom style="thin">
        <color rgb="FFA5A5A5"/>
      </bottom>
    </border>
    <border>
      <left style="thin">
        <color rgb="FF3F3F3F"/>
      </left>
      <top style="thin">
        <color rgb="FFA5A5A5"/>
      </top>
      <bottom style="thin">
        <color rgb="FFA5A5A5"/>
      </bottom>
    </border>
    <border>
      <left style="thin">
        <color rgb="FFAAAAAA"/>
      </left>
      <right/>
      <top style="thin">
        <color rgb="FFA5A5A5"/>
      </top>
      <bottom style="thin">
        <color rgb="FFAAAAAA"/>
      </bottom>
    </border>
    <border>
      <left/>
      <right/>
      <top style="thin">
        <color rgb="FFA5A5A5"/>
      </top>
      <bottom style="thin">
        <color rgb="FFAAAAAA"/>
      </bottom>
    </border>
    <border>
      <left/>
      <right style="thin">
        <color rgb="FFAAAAAA"/>
      </right>
      <top style="thin">
        <color rgb="FFA5A5A5"/>
      </top>
      <bottom style="thin">
        <color rgb="FFAAAAAA"/>
      </bottom>
    </border>
    <border>
      <left/>
      <right/>
      <bottom style="thin">
        <color rgb="FFAAAAAA"/>
      </bottom>
    </border>
  </borders>
  <cellStyleXfs count="1">
    <xf borderId="0" fillId="0" fontId="0" numFmtId="0" applyAlignment="1" applyFont="1"/>
  </cellStyleXfs>
  <cellXfs count="29">
    <xf borderId="0" fillId="0" fontId="0" numFmtId="0" xfId="0" applyAlignment="1" applyFont="1">
      <alignment readingOrder="0" shrinkToFit="0" vertical="top" wrapText="1"/>
    </xf>
    <xf borderId="1" fillId="2" fontId="1" numFmtId="0" xfId="0" applyAlignment="1" applyBorder="1" applyFill="1" applyFont="1">
      <alignment shrinkToFit="0" vertical="top" wrapText="0"/>
    </xf>
    <xf borderId="1" fillId="2" fontId="1" numFmtId="49" xfId="0" applyAlignment="1" applyBorder="1" applyFont="1" applyNumberFormat="1">
      <alignment shrinkToFit="0" vertical="top" wrapText="0"/>
    </xf>
    <xf borderId="2" fillId="2" fontId="1" numFmtId="49" xfId="0" applyAlignment="1" applyBorder="1" applyFont="1" applyNumberFormat="1">
      <alignment shrinkToFit="0" vertical="top" wrapText="0"/>
    </xf>
    <xf borderId="3" fillId="2" fontId="1" numFmtId="49" xfId="0" applyAlignment="1" applyBorder="1" applyFont="1" applyNumberFormat="1">
      <alignment shrinkToFit="0" vertical="top" wrapText="0"/>
    </xf>
    <xf borderId="0" fillId="0" fontId="2" numFmtId="0" xfId="0" applyAlignment="1" applyFont="1">
      <alignment shrinkToFit="0" vertical="top" wrapText="1"/>
    </xf>
    <xf borderId="1" fillId="3" fontId="1" numFmtId="0" xfId="0" applyAlignment="1" applyBorder="1" applyFill="1" applyFont="1">
      <alignment shrinkToFit="0" vertical="top" wrapText="0"/>
    </xf>
    <xf borderId="1" fillId="3" fontId="1" numFmtId="49" xfId="0" applyAlignment="1" applyBorder="1" applyFont="1" applyNumberFormat="1">
      <alignment shrinkToFit="0" vertical="top" wrapText="0"/>
    </xf>
    <xf borderId="4" fillId="3" fontId="1" numFmtId="49" xfId="0" applyAlignment="1" applyBorder="1" applyFont="1" applyNumberFormat="1">
      <alignment shrinkToFit="0" vertical="top" wrapText="0"/>
    </xf>
    <xf borderId="5" fillId="3" fontId="1" numFmtId="0" xfId="0" applyAlignment="1" applyBorder="1" applyFont="1">
      <alignment shrinkToFit="0" vertical="top" wrapText="0"/>
    </xf>
    <xf borderId="6" fillId="3" fontId="1" numFmtId="0" xfId="0" applyAlignment="1" applyBorder="1" applyFont="1">
      <alignment shrinkToFit="0" vertical="top" wrapText="0"/>
    </xf>
    <xf borderId="7" fillId="4" fontId="2" numFmtId="49" xfId="0" applyAlignment="1" applyBorder="1" applyFill="1" applyFont="1" applyNumberFormat="1">
      <alignment shrinkToFit="0" vertical="top" wrapText="0"/>
    </xf>
    <xf borderId="1" fillId="4" fontId="2" numFmtId="49" xfId="0" applyAlignment="1" applyBorder="1" applyFont="1" applyNumberFormat="1">
      <alignment shrinkToFit="0" vertical="top" wrapText="0"/>
    </xf>
    <xf borderId="1" fillId="4" fontId="2" numFmtId="0" xfId="0" applyAlignment="1" applyBorder="1" applyFont="1">
      <alignment shrinkToFit="0" vertical="top" wrapText="0"/>
    </xf>
    <xf borderId="8" fillId="3" fontId="1" numFmtId="49" xfId="0" applyAlignment="1" applyBorder="1" applyFont="1" applyNumberFormat="1">
      <alignment shrinkToFit="0" vertical="top" wrapText="0"/>
    </xf>
    <xf borderId="9" fillId="3" fontId="1" numFmtId="49" xfId="0" applyAlignment="1" applyBorder="1" applyFont="1" applyNumberFormat="1">
      <alignment shrinkToFit="0" vertical="top" wrapText="0"/>
    </xf>
    <xf borderId="7" fillId="5" fontId="2" numFmtId="49" xfId="0" applyAlignment="1" applyBorder="1" applyFill="1" applyFont="1" applyNumberFormat="1">
      <alignment shrinkToFit="0" vertical="top" wrapText="0"/>
    </xf>
    <xf borderId="7" fillId="6" fontId="2" numFmtId="49" xfId="0" applyAlignment="1" applyBorder="1" applyFill="1" applyFont="1" applyNumberFormat="1">
      <alignment shrinkToFit="0" vertical="top" wrapText="0"/>
    </xf>
    <xf borderId="10" fillId="3" fontId="1" numFmtId="0" xfId="0" applyAlignment="1" applyBorder="1" applyFont="1">
      <alignment shrinkToFit="0" vertical="top" wrapText="0"/>
    </xf>
    <xf borderId="11" fillId="3" fontId="1" numFmtId="0" xfId="0" applyAlignment="1" applyBorder="1" applyFont="1">
      <alignment shrinkToFit="0" vertical="top" wrapText="0"/>
    </xf>
    <xf borderId="12" fillId="3" fontId="1" numFmtId="0" xfId="0" applyAlignment="1" applyBorder="1" applyFont="1">
      <alignment shrinkToFit="0" vertical="top" wrapText="0"/>
    </xf>
    <xf borderId="13" fillId="3" fontId="1" numFmtId="0" xfId="0" applyAlignment="1" applyBorder="1" applyFont="1">
      <alignment shrinkToFit="0" vertical="top" wrapText="0"/>
    </xf>
    <xf borderId="14" fillId="4" fontId="2" numFmtId="0" xfId="0" applyAlignment="1" applyBorder="1" applyFont="1">
      <alignment shrinkToFit="0" vertical="top" wrapText="0"/>
    </xf>
    <xf borderId="15" fillId="4" fontId="2" numFmtId="0" xfId="0" applyAlignment="1" applyBorder="1" applyFont="1">
      <alignment shrinkToFit="0" vertical="top" wrapText="0"/>
    </xf>
    <xf borderId="16" fillId="4" fontId="2" numFmtId="0" xfId="0" applyAlignment="1" applyBorder="1" applyFont="1">
      <alignment shrinkToFit="0" vertical="top" wrapText="0"/>
    </xf>
    <xf borderId="0" fillId="0" fontId="1" numFmtId="49" xfId="0" applyAlignment="1" applyFont="1" applyNumberFormat="1">
      <alignment readingOrder="0" shrinkToFit="0" vertical="top" wrapText="0"/>
    </xf>
    <xf borderId="0" fillId="0" fontId="2" numFmtId="49" xfId="0" applyAlignment="1" applyFont="1" applyNumberFormat="1">
      <alignment shrinkToFit="0" vertical="top" wrapText="0"/>
    </xf>
    <xf borderId="0" fillId="0" fontId="2" numFmtId="0" xfId="0" applyAlignment="1" applyFont="1">
      <alignment shrinkToFit="0" vertical="top" wrapText="0"/>
    </xf>
    <xf borderId="17" fillId="4" fontId="2"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29"/>
    <col customWidth="1" min="2" max="2" width="12.86"/>
    <col customWidth="1" min="3" max="3" width="9.14"/>
    <col customWidth="1" min="4" max="5" width="9.43"/>
    <col customWidth="1" min="6" max="6" width="62.0"/>
    <col customWidth="1" min="7" max="7" width="77.43"/>
    <col customWidth="1" min="8" max="8" width="7.86"/>
    <col customWidth="1" min="9" max="9" width="7.0"/>
    <col customWidth="1" min="10" max="10" width="8.86"/>
    <col customWidth="1" min="11" max="11" width="15.43"/>
    <col customWidth="1" min="12" max="12" width="85.43"/>
    <col customWidth="1" min="13" max="13" width="18.86"/>
    <col customWidth="1" min="14" max="14" width="38.86"/>
    <col customWidth="1" min="15" max="27" width="8.29"/>
  </cols>
  <sheetData>
    <row r="1" ht="20.25" customHeight="1">
      <c r="A1" s="1"/>
      <c r="B1" s="2" t="s">
        <v>0</v>
      </c>
      <c r="C1" s="3" t="s">
        <v>1</v>
      </c>
      <c r="D1" s="3" t="s">
        <v>2</v>
      </c>
      <c r="E1" s="4"/>
      <c r="F1" s="2" t="s">
        <v>3</v>
      </c>
      <c r="G1" s="2" t="s">
        <v>4</v>
      </c>
      <c r="H1" s="2" t="s">
        <v>5</v>
      </c>
      <c r="I1" s="2" t="s">
        <v>6</v>
      </c>
      <c r="J1" s="2" t="s">
        <v>7</v>
      </c>
      <c r="K1" s="2" t="s">
        <v>8</v>
      </c>
      <c r="L1" s="2" t="s">
        <v>9</v>
      </c>
      <c r="M1" s="2" t="s">
        <v>10</v>
      </c>
      <c r="N1" s="2" t="s">
        <v>11</v>
      </c>
      <c r="O1" s="5"/>
      <c r="P1" s="5"/>
      <c r="Q1" s="5"/>
      <c r="R1" s="5"/>
      <c r="S1" s="5"/>
      <c r="T1" s="5"/>
      <c r="U1" s="5"/>
      <c r="V1" s="5"/>
      <c r="W1" s="5"/>
      <c r="X1" s="5"/>
      <c r="Y1" s="5"/>
      <c r="Z1" s="5"/>
      <c r="AA1" s="5"/>
    </row>
    <row r="2" ht="20.25" customHeight="1">
      <c r="A2" s="6">
        <v>0.0</v>
      </c>
      <c r="B2" s="7" t="s">
        <v>12</v>
      </c>
      <c r="C2" s="8" t="s">
        <v>12</v>
      </c>
      <c r="D2" s="9">
        <f t="shared" ref="D2:D62" si="1">IF(B2=C2,1,0)</f>
        <v>1</v>
      </c>
      <c r="E2" s="10"/>
      <c r="F2" s="11" t="s">
        <v>13</v>
      </c>
      <c r="G2" s="12" t="s">
        <v>14</v>
      </c>
      <c r="H2" s="13">
        <v>13647.0</v>
      </c>
      <c r="I2" s="13">
        <v>2430.0</v>
      </c>
      <c r="J2" s="13">
        <v>1.0</v>
      </c>
      <c r="K2" s="13">
        <v>4.210209777E9</v>
      </c>
      <c r="L2" s="12" t="s">
        <v>15</v>
      </c>
      <c r="M2" s="13">
        <v>2.02381698E8</v>
      </c>
      <c r="N2" s="12" t="s">
        <v>16</v>
      </c>
      <c r="O2" s="5"/>
      <c r="P2" s="5"/>
      <c r="Q2" s="5"/>
      <c r="R2" s="5"/>
      <c r="S2" s="5"/>
      <c r="T2" s="5"/>
      <c r="U2" s="5"/>
      <c r="V2" s="5"/>
      <c r="W2" s="5"/>
      <c r="X2" s="5"/>
      <c r="Y2" s="5"/>
      <c r="Z2" s="5"/>
      <c r="AA2" s="5"/>
    </row>
    <row r="3" ht="19.5" hidden="1" customHeight="1">
      <c r="A3" s="6">
        <v>1.0</v>
      </c>
      <c r="B3" s="7" t="s">
        <v>12</v>
      </c>
      <c r="C3" s="14" t="s">
        <v>17</v>
      </c>
      <c r="D3" s="9">
        <f t="shared" si="1"/>
        <v>0</v>
      </c>
      <c r="E3" s="10">
        <v>1.0</v>
      </c>
      <c r="F3" s="11" t="s">
        <v>18</v>
      </c>
      <c r="G3" s="12" t="s">
        <v>19</v>
      </c>
      <c r="H3" s="13">
        <v>13567.0</v>
      </c>
      <c r="I3" s="13">
        <v>2234.0</v>
      </c>
      <c r="J3" s="13">
        <v>3.0</v>
      </c>
      <c r="K3" s="13">
        <v>4.210209777E9</v>
      </c>
      <c r="L3" s="12" t="s">
        <v>15</v>
      </c>
      <c r="M3" s="13">
        <v>2.02381698E8</v>
      </c>
      <c r="N3" s="12" t="s">
        <v>16</v>
      </c>
      <c r="O3" s="5"/>
      <c r="P3" s="5"/>
      <c r="Q3" s="5"/>
      <c r="R3" s="5"/>
      <c r="S3" s="5"/>
      <c r="T3" s="5"/>
      <c r="U3" s="5"/>
      <c r="V3" s="5"/>
      <c r="W3" s="5"/>
      <c r="X3" s="5"/>
      <c r="Y3" s="5"/>
      <c r="Z3" s="5"/>
      <c r="AA3" s="5"/>
    </row>
    <row r="4" ht="19.5" customHeight="1">
      <c r="A4" s="6">
        <v>2.0</v>
      </c>
      <c r="B4" s="7" t="s">
        <v>12</v>
      </c>
      <c r="C4" s="15" t="s">
        <v>12</v>
      </c>
      <c r="D4" s="9">
        <f t="shared" si="1"/>
        <v>1</v>
      </c>
      <c r="E4" s="10"/>
      <c r="F4" s="11" t="s">
        <v>20</v>
      </c>
      <c r="G4" s="12" t="s">
        <v>21</v>
      </c>
      <c r="H4" s="13">
        <v>14174.0</v>
      </c>
      <c r="I4" s="13">
        <v>577.0</v>
      </c>
      <c r="J4" s="13">
        <v>4.0</v>
      </c>
      <c r="K4" s="13">
        <v>4.210187594E9</v>
      </c>
      <c r="L4" s="12" t="s">
        <v>22</v>
      </c>
      <c r="M4" s="13">
        <v>1.96734849E8</v>
      </c>
      <c r="N4" s="12" t="s">
        <v>23</v>
      </c>
      <c r="O4" s="5"/>
      <c r="P4" s="5"/>
      <c r="Q4" s="5"/>
      <c r="R4" s="5"/>
      <c r="S4" s="5"/>
      <c r="T4" s="5"/>
      <c r="U4" s="5"/>
      <c r="V4" s="5"/>
      <c r="W4" s="5"/>
      <c r="X4" s="5"/>
      <c r="Y4" s="5"/>
      <c r="Z4" s="5"/>
      <c r="AA4" s="5"/>
    </row>
    <row r="5" ht="19.5" customHeight="1">
      <c r="A5" s="6">
        <v>3.0</v>
      </c>
      <c r="B5" s="7" t="s">
        <v>12</v>
      </c>
      <c r="C5" s="15" t="s">
        <v>12</v>
      </c>
      <c r="D5" s="9">
        <f t="shared" si="1"/>
        <v>1</v>
      </c>
      <c r="E5" s="10"/>
      <c r="F5" s="11" t="s">
        <v>24</v>
      </c>
      <c r="G5" s="12" t="s">
        <v>25</v>
      </c>
      <c r="H5" s="13">
        <v>13904.0</v>
      </c>
      <c r="I5" s="13">
        <v>1094.0</v>
      </c>
      <c r="J5" s="13">
        <v>4.0</v>
      </c>
      <c r="K5" s="13">
        <v>4.210187594E9</v>
      </c>
      <c r="L5" s="12" t="s">
        <v>22</v>
      </c>
      <c r="M5" s="13">
        <v>2.02381698E8</v>
      </c>
      <c r="N5" s="12" t="s">
        <v>16</v>
      </c>
      <c r="O5" s="5"/>
      <c r="P5" s="5"/>
      <c r="Q5" s="5"/>
      <c r="R5" s="5"/>
      <c r="S5" s="5"/>
      <c r="T5" s="5"/>
      <c r="U5" s="5"/>
      <c r="V5" s="5"/>
      <c r="W5" s="5"/>
      <c r="X5" s="5"/>
      <c r="Y5" s="5"/>
      <c r="Z5" s="5"/>
      <c r="AA5" s="5"/>
    </row>
    <row r="6" ht="19.5" hidden="1" customHeight="1">
      <c r="A6" s="6">
        <v>4.0</v>
      </c>
      <c r="B6" s="7" t="s">
        <v>12</v>
      </c>
      <c r="C6" s="15" t="s">
        <v>17</v>
      </c>
      <c r="D6" s="9">
        <f t="shared" si="1"/>
        <v>0</v>
      </c>
      <c r="E6" s="10">
        <v>1.0</v>
      </c>
      <c r="F6" s="11" t="s">
        <v>26</v>
      </c>
      <c r="G6" s="12" t="s">
        <v>27</v>
      </c>
      <c r="H6" s="13">
        <v>14414.0</v>
      </c>
      <c r="I6" s="13">
        <v>993.0</v>
      </c>
      <c r="J6" s="13">
        <v>8.0</v>
      </c>
      <c r="K6" s="13">
        <v>4.210240405E9</v>
      </c>
      <c r="L6" s="12" t="s">
        <v>28</v>
      </c>
      <c r="M6" s="13">
        <v>4.210238599E9</v>
      </c>
      <c r="N6" s="12" t="s">
        <v>29</v>
      </c>
      <c r="O6" s="5"/>
      <c r="P6" s="5"/>
      <c r="Q6" s="5"/>
      <c r="R6" s="5"/>
      <c r="S6" s="5"/>
      <c r="T6" s="5"/>
      <c r="U6" s="5"/>
      <c r="V6" s="5"/>
      <c r="W6" s="5"/>
      <c r="X6" s="5"/>
      <c r="Y6" s="5"/>
      <c r="Z6" s="5"/>
      <c r="AA6" s="5"/>
    </row>
    <row r="7" ht="19.5" customHeight="1">
      <c r="A7" s="6">
        <v>5.0</v>
      </c>
      <c r="B7" s="7" t="s">
        <v>12</v>
      </c>
      <c r="C7" s="15" t="s">
        <v>12</v>
      </c>
      <c r="D7" s="9">
        <f t="shared" si="1"/>
        <v>1</v>
      </c>
      <c r="E7" s="10"/>
      <c r="F7" s="11" t="s">
        <v>30</v>
      </c>
      <c r="G7" s="12" t="s">
        <v>31</v>
      </c>
      <c r="H7" s="13">
        <v>13373.0</v>
      </c>
      <c r="I7" s="13">
        <v>31691.0</v>
      </c>
      <c r="J7" s="13">
        <v>11.0</v>
      </c>
      <c r="K7" s="13">
        <v>4.306509624E9</v>
      </c>
      <c r="L7" s="12" t="s">
        <v>32</v>
      </c>
      <c r="M7" s="13">
        <v>2.02381698E8</v>
      </c>
      <c r="N7" s="12" t="s">
        <v>16</v>
      </c>
      <c r="O7" s="5"/>
      <c r="P7" s="5"/>
      <c r="Q7" s="5"/>
      <c r="R7" s="5"/>
      <c r="S7" s="5"/>
      <c r="T7" s="5"/>
      <c r="U7" s="5"/>
      <c r="V7" s="5"/>
      <c r="W7" s="5"/>
      <c r="X7" s="5"/>
      <c r="Y7" s="5"/>
      <c r="Z7" s="5"/>
      <c r="AA7" s="5"/>
    </row>
    <row r="8" ht="19.5" customHeight="1">
      <c r="A8" s="6">
        <v>6.0</v>
      </c>
      <c r="B8" s="7" t="s">
        <v>12</v>
      </c>
      <c r="C8" s="15" t="s">
        <v>12</v>
      </c>
      <c r="D8" s="9">
        <f t="shared" si="1"/>
        <v>1</v>
      </c>
      <c r="E8" s="10"/>
      <c r="F8" s="11" t="s">
        <v>33</v>
      </c>
      <c r="G8" s="12" t="s">
        <v>34</v>
      </c>
      <c r="H8" s="13">
        <v>13693.0</v>
      </c>
      <c r="I8" s="13">
        <v>2293.0</v>
      </c>
      <c r="J8" s="13">
        <v>11.0</v>
      </c>
      <c r="K8" s="13">
        <v>4.210187594E9</v>
      </c>
      <c r="L8" s="12" t="s">
        <v>22</v>
      </c>
      <c r="M8" s="13">
        <v>2.02381698E8</v>
      </c>
      <c r="N8" s="12" t="s">
        <v>16</v>
      </c>
      <c r="O8" s="5"/>
      <c r="P8" s="5"/>
      <c r="Q8" s="5"/>
      <c r="R8" s="5"/>
      <c r="S8" s="5"/>
      <c r="T8" s="5"/>
      <c r="U8" s="5"/>
      <c r="V8" s="5"/>
      <c r="W8" s="5"/>
      <c r="X8" s="5"/>
      <c r="Y8" s="5"/>
      <c r="Z8" s="5"/>
      <c r="AA8" s="5"/>
    </row>
    <row r="9" ht="19.5" hidden="1" customHeight="1">
      <c r="A9" s="6">
        <v>7.0</v>
      </c>
      <c r="B9" s="7" t="s">
        <v>12</v>
      </c>
      <c r="C9" s="15" t="s">
        <v>17</v>
      </c>
      <c r="D9" s="9">
        <f t="shared" si="1"/>
        <v>0</v>
      </c>
      <c r="E9" s="10">
        <v>1.0</v>
      </c>
      <c r="F9" s="11" t="s">
        <v>35</v>
      </c>
      <c r="G9" s="12" t="s">
        <v>36</v>
      </c>
      <c r="H9" s="13">
        <v>14260.0</v>
      </c>
      <c r="I9" s="13">
        <v>1852.0</v>
      </c>
      <c r="J9" s="13">
        <v>12.0</v>
      </c>
      <c r="K9" s="13">
        <v>1.0134376E7</v>
      </c>
      <c r="L9" s="12" t="s">
        <v>37</v>
      </c>
      <c r="M9" s="13">
        <v>2.02381698E8</v>
      </c>
      <c r="N9" s="12" t="s">
        <v>16</v>
      </c>
      <c r="O9" s="5"/>
      <c r="P9" s="5"/>
      <c r="Q9" s="5"/>
      <c r="R9" s="5"/>
      <c r="S9" s="5"/>
      <c r="T9" s="5"/>
      <c r="U9" s="5"/>
      <c r="V9" s="5"/>
      <c r="W9" s="5"/>
      <c r="X9" s="5"/>
      <c r="Y9" s="5"/>
      <c r="Z9" s="5"/>
      <c r="AA9" s="5"/>
    </row>
    <row r="10" ht="19.5" hidden="1" customHeight="1">
      <c r="A10" s="6">
        <v>8.0</v>
      </c>
      <c r="B10" s="7" t="s">
        <v>38</v>
      </c>
      <c r="C10" s="15" t="s">
        <v>12</v>
      </c>
      <c r="D10" s="9">
        <f t="shared" si="1"/>
        <v>0</v>
      </c>
      <c r="E10" s="10">
        <v>1.0</v>
      </c>
      <c r="F10" s="16" t="s">
        <v>39</v>
      </c>
      <c r="G10" s="12" t="s">
        <v>40</v>
      </c>
      <c r="H10" s="13">
        <v>14335.0</v>
      </c>
      <c r="I10" s="13">
        <v>2917.0</v>
      </c>
      <c r="J10" s="13">
        <v>13.0</v>
      </c>
      <c r="K10" s="13">
        <v>4.210229544E9</v>
      </c>
      <c r="L10" s="12" t="s">
        <v>41</v>
      </c>
      <c r="M10" s="13">
        <v>3.8008053E7</v>
      </c>
      <c r="N10" s="12" t="s">
        <v>42</v>
      </c>
      <c r="O10" s="5"/>
      <c r="P10" s="5"/>
      <c r="Q10" s="5"/>
      <c r="R10" s="5"/>
      <c r="S10" s="5"/>
      <c r="T10" s="5"/>
      <c r="U10" s="5"/>
      <c r="V10" s="5"/>
      <c r="W10" s="5"/>
      <c r="X10" s="5"/>
      <c r="Y10" s="5"/>
      <c r="Z10" s="5"/>
      <c r="AA10" s="5"/>
    </row>
    <row r="11" ht="19.5" customHeight="1">
      <c r="A11" s="6">
        <v>9.0</v>
      </c>
      <c r="B11" s="7" t="s">
        <v>38</v>
      </c>
      <c r="C11" s="15" t="s">
        <v>12</v>
      </c>
      <c r="D11" s="9">
        <f t="shared" si="1"/>
        <v>0</v>
      </c>
      <c r="E11" s="10"/>
      <c r="F11" s="11" t="s">
        <v>43</v>
      </c>
      <c r="G11" s="12" t="s">
        <v>44</v>
      </c>
      <c r="H11" s="13">
        <v>13038.0</v>
      </c>
      <c r="I11" s="13">
        <v>5000.0</v>
      </c>
      <c r="J11" s="13">
        <v>25.0</v>
      </c>
      <c r="K11" s="13">
        <v>4.363607749E9</v>
      </c>
      <c r="L11" s="12" t="s">
        <v>45</v>
      </c>
      <c r="M11" s="13">
        <v>2.02381698E8</v>
      </c>
      <c r="N11" s="12" t="s">
        <v>16</v>
      </c>
      <c r="O11" s="5"/>
      <c r="P11" s="5"/>
      <c r="Q11" s="5"/>
      <c r="R11" s="5"/>
      <c r="S11" s="5"/>
      <c r="T11" s="5"/>
      <c r="U11" s="5"/>
      <c r="V11" s="5"/>
      <c r="W11" s="5"/>
      <c r="X11" s="5"/>
      <c r="Y11" s="5"/>
      <c r="Z11" s="5"/>
      <c r="AA11" s="5"/>
    </row>
    <row r="12" ht="19.5" hidden="1" customHeight="1">
      <c r="A12" s="6">
        <v>10.0</v>
      </c>
      <c r="B12" s="7" t="s">
        <v>38</v>
      </c>
      <c r="C12" s="15" t="s">
        <v>17</v>
      </c>
      <c r="D12" s="9">
        <f t="shared" si="1"/>
        <v>1</v>
      </c>
      <c r="E12" s="10">
        <v>1.0</v>
      </c>
      <c r="F12" s="11" t="s">
        <v>46</v>
      </c>
      <c r="G12" s="12" t="s">
        <v>47</v>
      </c>
      <c r="H12" s="13">
        <v>13812.0</v>
      </c>
      <c r="I12" s="13">
        <v>2224.0</v>
      </c>
      <c r="J12" s="13">
        <v>26.0</v>
      </c>
      <c r="K12" s="13">
        <v>4.21021328E9</v>
      </c>
      <c r="L12" s="12" t="s">
        <v>48</v>
      </c>
      <c r="M12" s="13">
        <v>2.02381698E8</v>
      </c>
      <c r="N12" s="12" t="s">
        <v>16</v>
      </c>
      <c r="O12" s="5"/>
      <c r="P12" s="5"/>
      <c r="Q12" s="5"/>
      <c r="R12" s="5"/>
      <c r="S12" s="5"/>
      <c r="T12" s="5"/>
      <c r="U12" s="5"/>
      <c r="V12" s="5"/>
      <c r="W12" s="5"/>
      <c r="X12" s="5"/>
      <c r="Y12" s="5"/>
      <c r="Z12" s="5"/>
      <c r="AA12" s="5"/>
    </row>
    <row r="13" ht="19.5" hidden="1" customHeight="1">
      <c r="A13" s="6">
        <v>11.0</v>
      </c>
      <c r="B13" s="7" t="s">
        <v>38</v>
      </c>
      <c r="C13" s="15" t="s">
        <v>17</v>
      </c>
      <c r="D13" s="9">
        <f t="shared" si="1"/>
        <v>1</v>
      </c>
      <c r="E13" s="10">
        <v>1.0</v>
      </c>
      <c r="F13" s="11" t="s">
        <v>49</v>
      </c>
      <c r="G13" s="12" t="s">
        <v>50</v>
      </c>
      <c r="H13" s="13">
        <v>13851.0</v>
      </c>
      <c r="I13" s="13">
        <v>6934.0</v>
      </c>
      <c r="J13" s="13">
        <v>50.0</v>
      </c>
      <c r="K13" s="13">
        <v>4.317411217E9</v>
      </c>
      <c r="L13" s="12" t="s">
        <v>51</v>
      </c>
      <c r="M13" s="13">
        <v>1.37773608E8</v>
      </c>
      <c r="N13" s="12" t="s">
        <v>52</v>
      </c>
      <c r="O13" s="5"/>
      <c r="P13" s="5"/>
      <c r="Q13" s="5"/>
      <c r="R13" s="5"/>
      <c r="S13" s="5"/>
      <c r="T13" s="5"/>
      <c r="U13" s="5"/>
      <c r="V13" s="5"/>
      <c r="W13" s="5"/>
      <c r="X13" s="5"/>
      <c r="Y13" s="5"/>
      <c r="Z13" s="5"/>
      <c r="AA13" s="5"/>
    </row>
    <row r="14" ht="19.5" hidden="1" customHeight="1">
      <c r="A14" s="6">
        <v>12.0</v>
      </c>
      <c r="B14" s="7" t="s">
        <v>38</v>
      </c>
      <c r="C14" s="15" t="s">
        <v>17</v>
      </c>
      <c r="D14" s="9">
        <f t="shared" si="1"/>
        <v>1</v>
      </c>
      <c r="E14" s="10">
        <v>1.0</v>
      </c>
      <c r="F14" s="11" t="s">
        <v>53</v>
      </c>
      <c r="G14" s="12" t="s">
        <v>54</v>
      </c>
      <c r="H14" s="13">
        <v>14264.0</v>
      </c>
      <c r="I14" s="13">
        <v>2222.0</v>
      </c>
      <c r="J14" s="13">
        <v>52.0</v>
      </c>
      <c r="K14" s="13">
        <v>4.317411217E9</v>
      </c>
      <c r="L14" s="12" t="s">
        <v>51</v>
      </c>
      <c r="M14" s="13">
        <v>1.0134376E7</v>
      </c>
      <c r="N14" s="12" t="s">
        <v>37</v>
      </c>
      <c r="O14" s="5"/>
      <c r="P14" s="5"/>
      <c r="Q14" s="5"/>
      <c r="R14" s="5"/>
      <c r="S14" s="5"/>
      <c r="T14" s="5"/>
      <c r="U14" s="5"/>
      <c r="V14" s="5"/>
      <c r="W14" s="5"/>
      <c r="X14" s="5"/>
      <c r="Y14" s="5"/>
      <c r="Z14" s="5"/>
      <c r="AA14" s="5"/>
    </row>
    <row r="15" ht="19.5" customHeight="1">
      <c r="A15" s="6">
        <v>13.0</v>
      </c>
      <c r="B15" s="7" t="s">
        <v>55</v>
      </c>
      <c r="C15" s="15" t="s">
        <v>12</v>
      </c>
      <c r="D15" s="9">
        <f t="shared" si="1"/>
        <v>1</v>
      </c>
      <c r="E15" s="10"/>
      <c r="F15" s="11" t="s">
        <v>56</v>
      </c>
      <c r="G15" s="12" t="s">
        <v>57</v>
      </c>
      <c r="H15" s="13">
        <v>13702.0</v>
      </c>
      <c r="I15" s="13">
        <v>22775.0</v>
      </c>
      <c r="J15" s="13">
        <v>207.0</v>
      </c>
      <c r="K15" s="13">
        <v>1.96734849E8</v>
      </c>
      <c r="L15" s="12" t="s">
        <v>23</v>
      </c>
      <c r="M15" s="13">
        <v>1.37773608E8</v>
      </c>
      <c r="N15" s="12" t="s">
        <v>52</v>
      </c>
      <c r="O15" s="5"/>
      <c r="P15" s="5"/>
      <c r="Q15" s="5"/>
      <c r="R15" s="5"/>
      <c r="S15" s="5"/>
      <c r="T15" s="5"/>
      <c r="U15" s="5"/>
      <c r="V15" s="5"/>
      <c r="W15" s="5"/>
      <c r="X15" s="5"/>
      <c r="Y15" s="5"/>
      <c r="Z15" s="5"/>
      <c r="AA15" s="5"/>
    </row>
    <row r="16" ht="19.5" customHeight="1">
      <c r="A16" s="6">
        <v>14.0</v>
      </c>
      <c r="B16" s="7" t="s">
        <v>55</v>
      </c>
      <c r="C16" s="15" t="s">
        <v>12</v>
      </c>
      <c r="D16" s="9">
        <f t="shared" si="1"/>
        <v>1</v>
      </c>
      <c r="E16" s="10"/>
      <c r="F16" s="11" t="s">
        <v>58</v>
      </c>
      <c r="G16" s="12" t="s">
        <v>59</v>
      </c>
      <c r="H16" s="13">
        <v>11714.0</v>
      </c>
      <c r="I16" s="13">
        <v>39226.0</v>
      </c>
      <c r="J16" s="13">
        <v>211.0</v>
      </c>
      <c r="K16" s="13">
        <v>4.363607701E9</v>
      </c>
      <c r="L16" s="12" t="s">
        <v>60</v>
      </c>
      <c r="M16" s="13">
        <v>1.37773608E8</v>
      </c>
      <c r="N16" s="12" t="s">
        <v>52</v>
      </c>
      <c r="O16" s="5"/>
      <c r="P16" s="5"/>
      <c r="Q16" s="5"/>
      <c r="R16" s="5"/>
      <c r="S16" s="5"/>
      <c r="T16" s="5"/>
      <c r="U16" s="5"/>
      <c r="V16" s="5"/>
      <c r="W16" s="5"/>
      <c r="X16" s="5"/>
      <c r="Y16" s="5"/>
      <c r="Z16" s="5"/>
      <c r="AA16" s="5"/>
    </row>
    <row r="17" ht="19.5" customHeight="1">
      <c r="A17" s="6">
        <v>15.0</v>
      </c>
      <c r="B17" s="7" t="s">
        <v>55</v>
      </c>
      <c r="C17" s="15" t="s">
        <v>17</v>
      </c>
      <c r="D17" s="9">
        <f t="shared" si="1"/>
        <v>0</v>
      </c>
      <c r="E17" s="10"/>
      <c r="F17" s="11" t="s">
        <v>61</v>
      </c>
      <c r="G17" s="12" t="s">
        <v>62</v>
      </c>
      <c r="H17" s="13">
        <v>13643.0</v>
      </c>
      <c r="I17" s="13">
        <v>10508.0</v>
      </c>
      <c r="J17" s="13">
        <v>211.0</v>
      </c>
      <c r="K17" s="13">
        <v>9.6609033E7</v>
      </c>
      <c r="L17" s="12" t="s">
        <v>63</v>
      </c>
      <c r="M17" s="13">
        <v>1.37773608E8</v>
      </c>
      <c r="N17" s="12" t="s">
        <v>52</v>
      </c>
      <c r="O17" s="5"/>
      <c r="P17" s="5"/>
      <c r="Q17" s="5"/>
      <c r="R17" s="5"/>
      <c r="S17" s="5"/>
      <c r="T17" s="5"/>
      <c r="U17" s="5"/>
      <c r="V17" s="5"/>
      <c r="W17" s="5"/>
      <c r="X17" s="5"/>
      <c r="Y17" s="5"/>
      <c r="Z17" s="5"/>
      <c r="AA17" s="5"/>
    </row>
    <row r="18" ht="19.5" customHeight="1">
      <c r="A18" s="6">
        <v>16.0</v>
      </c>
      <c r="B18" s="7" t="s">
        <v>55</v>
      </c>
      <c r="C18" s="15" t="s">
        <v>12</v>
      </c>
      <c r="D18" s="9">
        <f t="shared" si="1"/>
        <v>1</v>
      </c>
      <c r="E18" s="10"/>
      <c r="F18" s="11" t="s">
        <v>64</v>
      </c>
      <c r="G18" s="12" t="s">
        <v>65</v>
      </c>
      <c r="H18" s="13">
        <v>12026.0</v>
      </c>
      <c r="I18" s="13">
        <v>13571.0</v>
      </c>
      <c r="J18" s="13">
        <v>212.0</v>
      </c>
      <c r="K18" s="13">
        <v>4.210191458E9</v>
      </c>
      <c r="L18" s="12" t="s">
        <v>66</v>
      </c>
      <c r="M18" s="13">
        <v>1.37773608E8</v>
      </c>
      <c r="N18" s="12" t="s">
        <v>52</v>
      </c>
      <c r="O18" s="5"/>
      <c r="P18" s="5"/>
      <c r="Q18" s="5"/>
      <c r="R18" s="5"/>
      <c r="S18" s="5"/>
      <c r="T18" s="5"/>
      <c r="U18" s="5"/>
      <c r="V18" s="5"/>
      <c r="W18" s="5"/>
      <c r="X18" s="5"/>
      <c r="Y18" s="5"/>
      <c r="Z18" s="5"/>
      <c r="AA18" s="5"/>
    </row>
    <row r="19" ht="19.5" customHeight="1">
      <c r="A19" s="6">
        <v>17.0</v>
      </c>
      <c r="B19" s="7" t="s">
        <v>38</v>
      </c>
      <c r="C19" s="15" t="s">
        <v>12</v>
      </c>
      <c r="D19" s="9">
        <f t="shared" si="1"/>
        <v>0</v>
      </c>
      <c r="E19" s="10"/>
      <c r="F19" s="17" t="s">
        <v>67</v>
      </c>
      <c r="G19" s="12" t="s">
        <v>68</v>
      </c>
      <c r="H19" s="13">
        <v>11486.0</v>
      </c>
      <c r="I19" s="13">
        <v>41844.0</v>
      </c>
      <c r="J19" s="13">
        <v>229.0</v>
      </c>
      <c r="K19" s="13">
        <v>6377669.0</v>
      </c>
      <c r="L19" s="12" t="s">
        <v>69</v>
      </c>
      <c r="M19" s="13">
        <v>1.37773608E8</v>
      </c>
      <c r="N19" s="12" t="s">
        <v>52</v>
      </c>
      <c r="O19" s="5"/>
      <c r="P19" s="5"/>
      <c r="Q19" s="5"/>
      <c r="R19" s="5"/>
      <c r="S19" s="5"/>
      <c r="T19" s="5"/>
      <c r="U19" s="5"/>
      <c r="V19" s="5"/>
      <c r="W19" s="5"/>
      <c r="X19" s="5"/>
      <c r="Y19" s="5"/>
      <c r="Z19" s="5"/>
      <c r="AA19" s="5"/>
    </row>
    <row r="20" ht="19.5" customHeight="1">
      <c r="A20" s="6">
        <v>18.0</v>
      </c>
      <c r="B20" s="7" t="s">
        <v>38</v>
      </c>
      <c r="C20" s="15" t="s">
        <v>12</v>
      </c>
      <c r="D20" s="9">
        <f t="shared" si="1"/>
        <v>0</v>
      </c>
      <c r="E20" s="10"/>
      <c r="F20" s="17" t="s">
        <v>70</v>
      </c>
      <c r="G20" s="12" t="s">
        <v>71</v>
      </c>
      <c r="H20" s="13">
        <v>10868.0</v>
      </c>
      <c r="I20" s="13">
        <v>54578.0</v>
      </c>
      <c r="J20" s="13">
        <v>229.0</v>
      </c>
      <c r="K20" s="13">
        <v>4.210169774E9</v>
      </c>
      <c r="L20" s="12" t="s">
        <v>72</v>
      </c>
      <c r="M20" s="13">
        <v>1.37773608E8</v>
      </c>
      <c r="N20" s="12" t="s">
        <v>52</v>
      </c>
      <c r="O20" s="5"/>
      <c r="P20" s="5"/>
      <c r="Q20" s="5"/>
      <c r="R20" s="5"/>
      <c r="S20" s="5"/>
      <c r="T20" s="5"/>
      <c r="U20" s="5"/>
      <c r="V20" s="5"/>
      <c r="W20" s="5"/>
      <c r="X20" s="5"/>
      <c r="Y20" s="5"/>
      <c r="Z20" s="5"/>
      <c r="AA20" s="5"/>
    </row>
    <row r="21" ht="19.5" customHeight="1">
      <c r="A21" s="6">
        <v>19.0</v>
      </c>
      <c r="B21" s="7" t="s">
        <v>55</v>
      </c>
      <c r="C21" s="15" t="s">
        <v>12</v>
      </c>
      <c r="D21" s="9">
        <f t="shared" si="1"/>
        <v>1</v>
      </c>
      <c r="E21" s="10"/>
      <c r="F21" s="11" t="s">
        <v>73</v>
      </c>
      <c r="G21" s="12" t="s">
        <v>74</v>
      </c>
      <c r="H21" s="13">
        <v>11273.0</v>
      </c>
      <c r="I21" s="13">
        <v>33480.0</v>
      </c>
      <c r="J21" s="13">
        <v>233.0</v>
      </c>
      <c r="K21" s="13">
        <v>3.0698027E7</v>
      </c>
      <c r="L21" s="12" t="s">
        <v>75</v>
      </c>
      <c r="M21" s="13">
        <v>1.25754415E8</v>
      </c>
      <c r="N21" s="12" t="s">
        <v>76</v>
      </c>
      <c r="O21" s="5"/>
      <c r="P21" s="5"/>
      <c r="Q21" s="5"/>
      <c r="R21" s="5"/>
      <c r="S21" s="5"/>
      <c r="T21" s="5"/>
      <c r="U21" s="5"/>
      <c r="V21" s="5"/>
      <c r="W21" s="5"/>
      <c r="X21" s="5"/>
      <c r="Y21" s="5"/>
      <c r="Z21" s="5"/>
      <c r="AA21" s="5"/>
    </row>
    <row r="22" ht="19.5" customHeight="1">
      <c r="A22" s="6">
        <v>20.0</v>
      </c>
      <c r="B22" s="7" t="s">
        <v>55</v>
      </c>
      <c r="C22" s="15" t="s">
        <v>12</v>
      </c>
      <c r="D22" s="9">
        <f t="shared" si="1"/>
        <v>1</v>
      </c>
      <c r="E22" s="10"/>
      <c r="F22" s="11" t="s">
        <v>77</v>
      </c>
      <c r="G22" s="12" t="s">
        <v>78</v>
      </c>
      <c r="H22" s="13">
        <v>11689.0</v>
      </c>
      <c r="I22" s="13">
        <v>29235.0</v>
      </c>
      <c r="J22" s="13">
        <v>249.0</v>
      </c>
      <c r="K22" s="13">
        <v>4.210191458E9</v>
      </c>
      <c r="L22" s="12" t="s">
        <v>66</v>
      </c>
      <c r="M22" s="13">
        <v>1.37773608E8</v>
      </c>
      <c r="N22" s="12" t="s">
        <v>52</v>
      </c>
      <c r="O22" s="5"/>
      <c r="P22" s="5"/>
      <c r="Q22" s="5"/>
      <c r="R22" s="5"/>
      <c r="S22" s="5"/>
      <c r="T22" s="5"/>
      <c r="U22" s="5"/>
      <c r="V22" s="5"/>
      <c r="W22" s="5"/>
      <c r="X22" s="5"/>
      <c r="Y22" s="5"/>
      <c r="Z22" s="5"/>
      <c r="AA22" s="5"/>
    </row>
    <row r="23" ht="19.5" hidden="1" customHeight="1">
      <c r="A23" s="6">
        <v>21.0</v>
      </c>
      <c r="B23" s="7" t="s">
        <v>38</v>
      </c>
      <c r="C23" s="15" t="s">
        <v>17</v>
      </c>
      <c r="D23" s="9">
        <f t="shared" si="1"/>
        <v>1</v>
      </c>
      <c r="E23" s="10">
        <v>1.0</v>
      </c>
      <c r="F23" s="11" t="s">
        <v>79</v>
      </c>
      <c r="G23" s="12" t="s">
        <v>80</v>
      </c>
      <c r="H23" s="13">
        <v>10883.0</v>
      </c>
      <c r="I23" s="13">
        <v>18757.0</v>
      </c>
      <c r="J23" s="13">
        <v>278.0</v>
      </c>
      <c r="K23" s="13">
        <v>4.210190517E9</v>
      </c>
      <c r="L23" s="12" t="s">
        <v>81</v>
      </c>
      <c r="M23" s="13">
        <v>1.37773608E8</v>
      </c>
      <c r="N23" s="12" t="s">
        <v>52</v>
      </c>
      <c r="O23" s="5"/>
      <c r="P23" s="5"/>
      <c r="Q23" s="5"/>
      <c r="R23" s="5"/>
      <c r="S23" s="5"/>
      <c r="T23" s="5"/>
      <c r="U23" s="5"/>
      <c r="V23" s="5"/>
      <c r="W23" s="5"/>
      <c r="X23" s="5"/>
      <c r="Y23" s="5"/>
      <c r="Z23" s="5"/>
      <c r="AA23" s="5"/>
    </row>
    <row r="24" ht="19.5" customHeight="1">
      <c r="A24" s="6">
        <v>22.0</v>
      </c>
      <c r="B24" s="7" t="s">
        <v>38</v>
      </c>
      <c r="C24" s="15" t="s">
        <v>12</v>
      </c>
      <c r="D24" s="9">
        <f t="shared" si="1"/>
        <v>0</v>
      </c>
      <c r="E24" s="10"/>
      <c r="F24" s="17" t="s">
        <v>82</v>
      </c>
      <c r="G24" s="12" t="s">
        <v>83</v>
      </c>
      <c r="H24" s="13">
        <v>12923.0</v>
      </c>
      <c r="I24" s="13">
        <v>23610.0</v>
      </c>
      <c r="J24" s="13">
        <v>293.0</v>
      </c>
      <c r="K24" s="13">
        <v>1.83492911E8</v>
      </c>
      <c r="L24" s="12" t="s">
        <v>84</v>
      </c>
      <c r="M24" s="13">
        <v>1.37773608E8</v>
      </c>
      <c r="N24" s="12" t="s">
        <v>52</v>
      </c>
      <c r="O24" s="5"/>
      <c r="P24" s="5"/>
      <c r="Q24" s="5"/>
      <c r="R24" s="5"/>
      <c r="S24" s="5"/>
      <c r="T24" s="5"/>
      <c r="U24" s="5"/>
      <c r="V24" s="5"/>
      <c r="W24" s="5"/>
      <c r="X24" s="5"/>
      <c r="Y24" s="5"/>
      <c r="Z24" s="5"/>
      <c r="AA24" s="5"/>
    </row>
    <row r="25" ht="19.5" hidden="1" customHeight="1">
      <c r="A25" s="6">
        <v>23.0</v>
      </c>
      <c r="B25" s="7" t="s">
        <v>55</v>
      </c>
      <c r="C25" s="15" t="s">
        <v>17</v>
      </c>
      <c r="D25" s="9">
        <f t="shared" si="1"/>
        <v>0</v>
      </c>
      <c r="E25" s="10">
        <v>1.0</v>
      </c>
      <c r="F25" s="11" t="s">
        <v>85</v>
      </c>
      <c r="G25" s="12" t="s">
        <v>86</v>
      </c>
      <c r="H25" s="13">
        <v>12128.0</v>
      </c>
      <c r="I25" s="13">
        <v>18754.0</v>
      </c>
      <c r="J25" s="13">
        <v>295.0</v>
      </c>
      <c r="K25" s="13">
        <v>1.68738021E8</v>
      </c>
      <c r="L25" s="12" t="s">
        <v>87</v>
      </c>
      <c r="M25" s="13">
        <v>1.37773608E8</v>
      </c>
      <c r="N25" s="12" t="s">
        <v>52</v>
      </c>
      <c r="O25" s="5"/>
      <c r="P25" s="5"/>
      <c r="Q25" s="5"/>
      <c r="R25" s="5"/>
      <c r="S25" s="5"/>
      <c r="T25" s="5"/>
      <c r="U25" s="5"/>
      <c r="V25" s="5"/>
      <c r="W25" s="5"/>
      <c r="X25" s="5"/>
      <c r="Y25" s="5"/>
      <c r="Z25" s="5"/>
      <c r="AA25" s="5"/>
    </row>
    <row r="26" ht="19.5" customHeight="1">
      <c r="A26" s="6">
        <v>24.0</v>
      </c>
      <c r="B26" s="7" t="s">
        <v>55</v>
      </c>
      <c r="C26" s="15" t="s">
        <v>12</v>
      </c>
      <c r="D26" s="9">
        <f t="shared" si="1"/>
        <v>1</v>
      </c>
      <c r="E26" s="10"/>
      <c r="F26" s="11" t="s">
        <v>88</v>
      </c>
      <c r="G26" s="12" t="s">
        <v>89</v>
      </c>
      <c r="H26" s="13">
        <v>11396.0</v>
      </c>
      <c r="I26" s="13">
        <v>28339.0</v>
      </c>
      <c r="J26" s="13">
        <v>319.0</v>
      </c>
      <c r="K26" s="13">
        <v>2.485537415E9</v>
      </c>
      <c r="L26" s="12" t="s">
        <v>90</v>
      </c>
      <c r="M26" s="13">
        <v>1.37773608E8</v>
      </c>
      <c r="N26" s="12" t="s">
        <v>52</v>
      </c>
      <c r="O26" s="5"/>
      <c r="P26" s="5"/>
      <c r="Q26" s="5"/>
      <c r="R26" s="5"/>
      <c r="S26" s="5"/>
      <c r="T26" s="5"/>
      <c r="U26" s="5"/>
      <c r="V26" s="5"/>
      <c r="W26" s="5"/>
      <c r="X26" s="5"/>
      <c r="Y26" s="5"/>
      <c r="Z26" s="5"/>
      <c r="AA26" s="5"/>
    </row>
    <row r="27" ht="19.5" customHeight="1">
      <c r="A27" s="6">
        <v>25.0</v>
      </c>
      <c r="B27" s="7" t="s">
        <v>38</v>
      </c>
      <c r="C27" s="15" t="s">
        <v>12</v>
      </c>
      <c r="D27" s="9">
        <f t="shared" si="1"/>
        <v>0</v>
      </c>
      <c r="E27" s="10"/>
      <c r="F27" s="17" t="s">
        <v>91</v>
      </c>
      <c r="G27" s="12" t="s">
        <v>92</v>
      </c>
      <c r="H27" s="13">
        <v>12983.0</v>
      </c>
      <c r="I27" s="13">
        <v>16017.0</v>
      </c>
      <c r="J27" s="13">
        <v>336.0</v>
      </c>
      <c r="K27" s="13">
        <v>1.83492911E8</v>
      </c>
      <c r="L27" s="12" t="s">
        <v>84</v>
      </c>
      <c r="M27" s="13">
        <v>1.37773608E8</v>
      </c>
      <c r="N27" s="12" t="s">
        <v>52</v>
      </c>
      <c r="O27" s="5"/>
      <c r="P27" s="5"/>
      <c r="Q27" s="5"/>
      <c r="R27" s="5"/>
      <c r="S27" s="5"/>
      <c r="T27" s="5"/>
      <c r="U27" s="5"/>
      <c r="V27" s="5"/>
      <c r="W27" s="5"/>
      <c r="X27" s="5"/>
      <c r="Y27" s="5"/>
      <c r="Z27" s="5"/>
      <c r="AA27" s="5"/>
    </row>
    <row r="28" ht="19.5" customHeight="1">
      <c r="A28" s="6">
        <v>26.0</v>
      </c>
      <c r="B28" s="7" t="s">
        <v>55</v>
      </c>
      <c r="C28" s="15" t="s">
        <v>17</v>
      </c>
      <c r="D28" s="9">
        <f t="shared" si="1"/>
        <v>0</v>
      </c>
      <c r="E28" s="10"/>
      <c r="F28" s="11" t="s">
        <v>93</v>
      </c>
      <c r="G28" s="12" t="s">
        <v>94</v>
      </c>
      <c r="H28" s="13">
        <v>12676.0</v>
      </c>
      <c r="I28" s="13">
        <v>28175.0</v>
      </c>
      <c r="J28" s="13">
        <v>361.0</v>
      </c>
      <c r="K28" s="13">
        <v>4.5693802E7</v>
      </c>
      <c r="L28" s="12" t="s">
        <v>95</v>
      </c>
      <c r="M28" s="13">
        <v>1.37773608E8</v>
      </c>
      <c r="N28" s="12" t="s">
        <v>52</v>
      </c>
      <c r="O28" s="5"/>
      <c r="P28" s="5"/>
      <c r="Q28" s="5"/>
      <c r="R28" s="5"/>
      <c r="S28" s="5"/>
      <c r="T28" s="5"/>
      <c r="U28" s="5"/>
      <c r="V28" s="5"/>
      <c r="W28" s="5"/>
      <c r="X28" s="5"/>
      <c r="Y28" s="5"/>
      <c r="Z28" s="5"/>
      <c r="AA28" s="5"/>
    </row>
    <row r="29" ht="19.5" customHeight="1">
      <c r="A29" s="6">
        <v>27.0</v>
      </c>
      <c r="B29" s="7" t="s">
        <v>55</v>
      </c>
      <c r="C29" s="15" t="s">
        <v>12</v>
      </c>
      <c r="D29" s="9">
        <f t="shared" si="1"/>
        <v>1</v>
      </c>
      <c r="E29" s="10"/>
      <c r="F29" s="11" t="s">
        <v>96</v>
      </c>
      <c r="G29" s="12" t="s">
        <v>97</v>
      </c>
      <c r="H29" s="13">
        <v>11347.0</v>
      </c>
      <c r="I29" s="13">
        <v>57240.0</v>
      </c>
      <c r="J29" s="13">
        <v>377.0</v>
      </c>
      <c r="K29" s="13">
        <v>4.5693802E7</v>
      </c>
      <c r="L29" s="12" t="s">
        <v>95</v>
      </c>
      <c r="M29" s="13">
        <v>1.25754415E8</v>
      </c>
      <c r="N29" s="12" t="s">
        <v>76</v>
      </c>
      <c r="O29" s="5"/>
      <c r="P29" s="5"/>
      <c r="Q29" s="5"/>
      <c r="R29" s="5"/>
      <c r="S29" s="5"/>
      <c r="T29" s="5"/>
      <c r="U29" s="5"/>
      <c r="V29" s="5"/>
      <c r="W29" s="5"/>
      <c r="X29" s="5"/>
      <c r="Y29" s="5"/>
      <c r="Z29" s="5"/>
      <c r="AA29" s="5"/>
    </row>
    <row r="30" ht="19.5" hidden="1" customHeight="1">
      <c r="A30" s="6">
        <v>28.0</v>
      </c>
      <c r="B30" s="7" t="s">
        <v>38</v>
      </c>
      <c r="C30" s="15" t="s">
        <v>12</v>
      </c>
      <c r="D30" s="9">
        <f t="shared" si="1"/>
        <v>0</v>
      </c>
      <c r="E30" s="10">
        <v>1.0</v>
      </c>
      <c r="F30" s="16" t="s">
        <v>98</v>
      </c>
      <c r="G30" s="12" t="s">
        <v>99</v>
      </c>
      <c r="H30" s="13">
        <v>14339.0</v>
      </c>
      <c r="I30" s="13">
        <v>40588.0</v>
      </c>
      <c r="J30" s="13">
        <v>383.0</v>
      </c>
      <c r="K30" s="13">
        <v>1.83492911E8</v>
      </c>
      <c r="L30" s="12" t="s">
        <v>84</v>
      </c>
      <c r="M30" s="13">
        <v>1.37773608E8</v>
      </c>
      <c r="N30" s="12" t="s">
        <v>52</v>
      </c>
      <c r="O30" s="5"/>
      <c r="P30" s="5"/>
      <c r="Q30" s="5"/>
      <c r="R30" s="5"/>
      <c r="S30" s="5"/>
      <c r="T30" s="5"/>
      <c r="U30" s="5"/>
      <c r="V30" s="5"/>
      <c r="W30" s="5"/>
      <c r="X30" s="5"/>
      <c r="Y30" s="5"/>
      <c r="Z30" s="5"/>
      <c r="AA30" s="5"/>
    </row>
    <row r="31" ht="19.5" customHeight="1">
      <c r="A31" s="6">
        <v>29.0</v>
      </c>
      <c r="B31" s="7" t="s">
        <v>55</v>
      </c>
      <c r="C31" s="15" t="s">
        <v>12</v>
      </c>
      <c r="D31" s="9">
        <f t="shared" si="1"/>
        <v>1</v>
      </c>
      <c r="E31" s="10"/>
      <c r="F31" s="11" t="s">
        <v>100</v>
      </c>
      <c r="G31" s="12" t="s">
        <v>101</v>
      </c>
      <c r="H31" s="13">
        <v>12072.0</v>
      </c>
      <c r="I31" s="13">
        <v>36548.0</v>
      </c>
      <c r="J31" s="13">
        <v>385.0</v>
      </c>
      <c r="K31" s="13">
        <v>4.306420609E9</v>
      </c>
      <c r="L31" s="12" t="s">
        <v>102</v>
      </c>
      <c r="M31" s="13">
        <v>1.37773608E8</v>
      </c>
      <c r="N31" s="12" t="s">
        <v>52</v>
      </c>
      <c r="O31" s="5"/>
      <c r="P31" s="5"/>
      <c r="Q31" s="5"/>
      <c r="R31" s="5"/>
      <c r="S31" s="5"/>
      <c r="T31" s="5"/>
      <c r="U31" s="5"/>
      <c r="V31" s="5"/>
      <c r="W31" s="5"/>
      <c r="X31" s="5"/>
      <c r="Y31" s="5"/>
      <c r="Z31" s="5"/>
      <c r="AA31" s="5"/>
    </row>
    <row r="32" ht="19.5" hidden="1" customHeight="1">
      <c r="A32" s="6">
        <v>30.0</v>
      </c>
      <c r="B32" s="7" t="s">
        <v>38</v>
      </c>
      <c r="C32" s="15" t="s">
        <v>12</v>
      </c>
      <c r="D32" s="9">
        <f t="shared" si="1"/>
        <v>0</v>
      </c>
      <c r="E32" s="10">
        <v>1.0</v>
      </c>
      <c r="F32" s="16" t="s">
        <v>103</v>
      </c>
      <c r="G32" s="12" t="s">
        <v>104</v>
      </c>
      <c r="H32" s="13">
        <v>13382.0</v>
      </c>
      <c r="I32" s="13">
        <v>27540.0</v>
      </c>
      <c r="J32" s="13">
        <v>389.0</v>
      </c>
      <c r="K32" s="13">
        <v>4.210229544E9</v>
      </c>
      <c r="L32" s="12" t="s">
        <v>41</v>
      </c>
      <c r="M32" s="13">
        <v>1.37773608E8</v>
      </c>
      <c r="N32" s="12" t="s">
        <v>52</v>
      </c>
      <c r="O32" s="5"/>
      <c r="P32" s="5"/>
      <c r="Q32" s="5"/>
      <c r="R32" s="5"/>
      <c r="S32" s="5"/>
      <c r="T32" s="5"/>
      <c r="U32" s="5"/>
      <c r="V32" s="5"/>
      <c r="W32" s="5"/>
      <c r="X32" s="5"/>
      <c r="Y32" s="5"/>
      <c r="Z32" s="5"/>
      <c r="AA32" s="5"/>
    </row>
    <row r="33" ht="19.5" customHeight="1">
      <c r="A33" s="6">
        <v>31.0</v>
      </c>
      <c r="B33" s="7" t="s">
        <v>55</v>
      </c>
      <c r="C33" s="15" t="s">
        <v>12</v>
      </c>
      <c r="D33" s="9">
        <f t="shared" si="1"/>
        <v>1</v>
      </c>
      <c r="E33" s="10"/>
      <c r="F33" s="11" t="s">
        <v>105</v>
      </c>
      <c r="G33" s="12" t="s">
        <v>106</v>
      </c>
      <c r="H33" s="13">
        <v>12002.0</v>
      </c>
      <c r="I33" s="13">
        <v>37651.0</v>
      </c>
      <c r="J33" s="13">
        <v>441.0</v>
      </c>
      <c r="K33" s="13">
        <v>1.77675236E8</v>
      </c>
      <c r="L33" s="12" t="s">
        <v>107</v>
      </c>
      <c r="M33" s="13">
        <v>1.37773608E8</v>
      </c>
      <c r="N33" s="12" t="s">
        <v>52</v>
      </c>
      <c r="O33" s="5"/>
      <c r="P33" s="5"/>
      <c r="Q33" s="5"/>
      <c r="R33" s="5"/>
      <c r="S33" s="5"/>
      <c r="T33" s="5"/>
      <c r="U33" s="5"/>
      <c r="V33" s="5"/>
      <c r="W33" s="5"/>
      <c r="X33" s="5"/>
      <c r="Y33" s="5"/>
      <c r="Z33" s="5"/>
      <c r="AA33" s="5"/>
    </row>
    <row r="34" ht="19.5" customHeight="1">
      <c r="A34" s="6">
        <v>32.0</v>
      </c>
      <c r="B34" s="7" t="s">
        <v>55</v>
      </c>
      <c r="C34" s="15" t="s">
        <v>108</v>
      </c>
      <c r="D34" s="9">
        <f t="shared" si="1"/>
        <v>0</v>
      </c>
      <c r="E34" s="10"/>
      <c r="F34" s="11" t="s">
        <v>109</v>
      </c>
      <c r="G34" s="12" t="s">
        <v>110</v>
      </c>
      <c r="H34" s="13">
        <v>11636.0</v>
      </c>
      <c r="I34" s="13">
        <v>27982.0</v>
      </c>
      <c r="J34" s="13">
        <v>455.0</v>
      </c>
      <c r="K34" s="13">
        <v>2.738950867E9</v>
      </c>
      <c r="L34" s="12" t="s">
        <v>111</v>
      </c>
      <c r="M34" s="13">
        <v>1.37773608E8</v>
      </c>
      <c r="N34" s="12" t="s">
        <v>52</v>
      </c>
      <c r="O34" s="5"/>
      <c r="P34" s="5"/>
      <c r="Q34" s="5"/>
      <c r="R34" s="5"/>
      <c r="S34" s="5"/>
      <c r="T34" s="5"/>
      <c r="U34" s="5"/>
      <c r="V34" s="5"/>
      <c r="W34" s="5"/>
      <c r="X34" s="5"/>
      <c r="Y34" s="5"/>
      <c r="Z34" s="5"/>
      <c r="AA34" s="5"/>
    </row>
    <row r="35" ht="19.5" customHeight="1">
      <c r="A35" s="6">
        <v>33.0</v>
      </c>
      <c r="B35" s="7" t="s">
        <v>55</v>
      </c>
      <c r="C35" s="15" t="s">
        <v>12</v>
      </c>
      <c r="D35" s="9">
        <f t="shared" si="1"/>
        <v>1</v>
      </c>
      <c r="E35" s="10"/>
      <c r="F35" s="11" t="s">
        <v>112</v>
      </c>
      <c r="G35" s="12" t="s">
        <v>113</v>
      </c>
      <c r="H35" s="13">
        <v>12611.0</v>
      </c>
      <c r="I35" s="13">
        <v>38677.0</v>
      </c>
      <c r="J35" s="13">
        <v>498.0</v>
      </c>
      <c r="K35" s="13">
        <v>1.83492911E8</v>
      </c>
      <c r="L35" s="12" t="s">
        <v>84</v>
      </c>
      <c r="M35" s="13">
        <v>1.37773608E8</v>
      </c>
      <c r="N35" s="12" t="s">
        <v>52</v>
      </c>
      <c r="O35" s="5"/>
      <c r="P35" s="5"/>
      <c r="Q35" s="5"/>
      <c r="R35" s="5"/>
      <c r="S35" s="5"/>
      <c r="T35" s="5"/>
      <c r="U35" s="5"/>
      <c r="V35" s="5"/>
      <c r="W35" s="5"/>
      <c r="X35" s="5"/>
      <c r="Y35" s="5"/>
      <c r="Z35" s="5"/>
      <c r="AA35" s="5"/>
    </row>
    <row r="36" ht="19.5" customHeight="1">
      <c r="A36" s="6">
        <v>34.0</v>
      </c>
      <c r="B36" s="7" t="s">
        <v>55</v>
      </c>
      <c r="C36" s="15" t="s">
        <v>12</v>
      </c>
      <c r="D36" s="9">
        <f t="shared" si="1"/>
        <v>1</v>
      </c>
      <c r="E36" s="10"/>
      <c r="F36" s="11" t="s">
        <v>114</v>
      </c>
      <c r="G36" s="12" t="s">
        <v>115</v>
      </c>
      <c r="H36" s="13">
        <v>13114.0</v>
      </c>
      <c r="I36" s="13">
        <v>84388.0</v>
      </c>
      <c r="J36" s="13">
        <v>518.0</v>
      </c>
      <c r="K36" s="13">
        <v>1.83492911E8</v>
      </c>
      <c r="L36" s="12" t="s">
        <v>84</v>
      </c>
      <c r="M36" s="13">
        <v>1.37773608E8</v>
      </c>
      <c r="N36" s="12" t="s">
        <v>52</v>
      </c>
      <c r="O36" s="5"/>
      <c r="P36" s="5"/>
      <c r="Q36" s="5"/>
      <c r="R36" s="5"/>
      <c r="S36" s="5"/>
      <c r="T36" s="5"/>
      <c r="U36" s="5"/>
      <c r="V36" s="5"/>
      <c r="W36" s="5"/>
      <c r="X36" s="5"/>
      <c r="Y36" s="5"/>
      <c r="Z36" s="5"/>
      <c r="AA36" s="5"/>
    </row>
    <row r="37" ht="19.5" customHeight="1">
      <c r="A37" s="6">
        <v>35.0</v>
      </c>
      <c r="B37" s="7" t="s">
        <v>55</v>
      </c>
      <c r="C37" s="15" t="s">
        <v>12</v>
      </c>
      <c r="D37" s="9">
        <f t="shared" si="1"/>
        <v>1</v>
      </c>
      <c r="E37" s="10"/>
      <c r="F37" s="11" t="s">
        <v>116</v>
      </c>
      <c r="G37" s="12" t="s">
        <v>117</v>
      </c>
      <c r="H37" s="13">
        <v>10462.0</v>
      </c>
      <c r="I37" s="13">
        <v>36381.0</v>
      </c>
      <c r="J37" s="13">
        <v>522.0</v>
      </c>
      <c r="K37" s="13">
        <v>4.363607734E9</v>
      </c>
      <c r="L37" s="12" t="s">
        <v>118</v>
      </c>
      <c r="M37" s="13">
        <v>1.37773608E8</v>
      </c>
      <c r="N37" s="12" t="s">
        <v>52</v>
      </c>
      <c r="O37" s="5"/>
      <c r="P37" s="5"/>
      <c r="Q37" s="5"/>
      <c r="R37" s="5"/>
      <c r="S37" s="5"/>
      <c r="T37" s="5"/>
      <c r="U37" s="5"/>
      <c r="V37" s="5"/>
      <c r="W37" s="5"/>
      <c r="X37" s="5"/>
      <c r="Y37" s="5"/>
      <c r="Z37" s="5"/>
      <c r="AA37" s="5"/>
    </row>
    <row r="38" ht="19.5" customHeight="1">
      <c r="A38" s="6">
        <v>36.0</v>
      </c>
      <c r="B38" s="7" t="s">
        <v>55</v>
      </c>
      <c r="C38" s="15" t="s">
        <v>108</v>
      </c>
      <c r="D38" s="9">
        <f t="shared" si="1"/>
        <v>0</v>
      </c>
      <c r="E38" s="10"/>
      <c r="F38" s="11" t="s">
        <v>119</v>
      </c>
      <c r="G38" s="12" t="s">
        <v>120</v>
      </c>
      <c r="H38" s="13">
        <v>11948.0</v>
      </c>
      <c r="I38" s="13">
        <v>52635.0</v>
      </c>
      <c r="J38" s="13">
        <v>523.0</v>
      </c>
      <c r="K38" s="13">
        <v>7.7047749E7</v>
      </c>
      <c r="L38" s="12" t="s">
        <v>121</v>
      </c>
      <c r="M38" s="13">
        <v>1.37773608E8</v>
      </c>
      <c r="N38" s="12" t="s">
        <v>52</v>
      </c>
      <c r="O38" s="5"/>
      <c r="P38" s="5"/>
      <c r="Q38" s="5"/>
      <c r="R38" s="5"/>
      <c r="S38" s="5"/>
      <c r="T38" s="5"/>
      <c r="U38" s="5"/>
      <c r="V38" s="5"/>
      <c r="W38" s="5"/>
      <c r="X38" s="5"/>
      <c r="Y38" s="5"/>
      <c r="Z38" s="5"/>
      <c r="AA38" s="5"/>
    </row>
    <row r="39" ht="19.5" customHeight="1">
      <c r="A39" s="6">
        <v>37.0</v>
      </c>
      <c r="B39" s="7" t="s">
        <v>55</v>
      </c>
      <c r="C39" s="15" t="s">
        <v>12</v>
      </c>
      <c r="D39" s="9">
        <f t="shared" si="1"/>
        <v>1</v>
      </c>
      <c r="E39" s="10"/>
      <c r="F39" s="11" t="s">
        <v>122</v>
      </c>
      <c r="G39" s="12" t="s">
        <v>123</v>
      </c>
      <c r="H39" s="13">
        <v>10906.0</v>
      </c>
      <c r="I39" s="13">
        <v>35016.0</v>
      </c>
      <c r="J39" s="13">
        <v>523.0</v>
      </c>
      <c r="K39" s="13">
        <v>4.306420577E9</v>
      </c>
      <c r="L39" s="12" t="s">
        <v>124</v>
      </c>
      <c r="M39" s="13">
        <v>1.37773608E8</v>
      </c>
      <c r="N39" s="12" t="s">
        <v>52</v>
      </c>
      <c r="O39" s="5"/>
      <c r="P39" s="5"/>
      <c r="Q39" s="5"/>
      <c r="R39" s="5"/>
      <c r="S39" s="5"/>
      <c r="T39" s="5"/>
      <c r="U39" s="5"/>
      <c r="V39" s="5"/>
      <c r="W39" s="5"/>
      <c r="X39" s="5"/>
      <c r="Y39" s="5"/>
      <c r="Z39" s="5"/>
      <c r="AA39" s="5"/>
    </row>
    <row r="40" ht="19.5" hidden="1" customHeight="1">
      <c r="A40" s="6">
        <v>38.0</v>
      </c>
      <c r="B40" s="7" t="s">
        <v>38</v>
      </c>
      <c r="C40" s="15" t="s">
        <v>17</v>
      </c>
      <c r="D40" s="9">
        <f t="shared" si="1"/>
        <v>1</v>
      </c>
      <c r="E40" s="10">
        <v>1.0</v>
      </c>
      <c r="F40" s="11" t="s">
        <v>125</v>
      </c>
      <c r="G40" s="12" t="s">
        <v>126</v>
      </c>
      <c r="H40" s="13">
        <v>11265.0</v>
      </c>
      <c r="I40" s="13">
        <v>30628.0</v>
      </c>
      <c r="J40" s="13">
        <v>523.0</v>
      </c>
      <c r="K40" s="13">
        <v>2.735557189E9</v>
      </c>
      <c r="L40" s="12" t="s">
        <v>127</v>
      </c>
      <c r="M40" s="13">
        <v>1.37773608E8</v>
      </c>
      <c r="N40" s="12" t="s">
        <v>52</v>
      </c>
      <c r="O40" s="5"/>
      <c r="P40" s="5"/>
      <c r="Q40" s="5"/>
      <c r="R40" s="5"/>
      <c r="S40" s="5"/>
      <c r="T40" s="5"/>
      <c r="U40" s="5"/>
      <c r="V40" s="5"/>
      <c r="W40" s="5"/>
      <c r="X40" s="5"/>
      <c r="Y40" s="5"/>
      <c r="Z40" s="5"/>
      <c r="AA40" s="5"/>
    </row>
    <row r="41" ht="19.5" customHeight="1">
      <c r="A41" s="6">
        <v>39.0</v>
      </c>
      <c r="B41" s="7" t="s">
        <v>55</v>
      </c>
      <c r="C41" s="15" t="s">
        <v>12</v>
      </c>
      <c r="D41" s="9">
        <f t="shared" si="1"/>
        <v>1</v>
      </c>
      <c r="E41" s="10"/>
      <c r="F41" s="11" t="s">
        <v>128</v>
      </c>
      <c r="G41" s="12" t="s">
        <v>129</v>
      </c>
      <c r="H41" s="13">
        <v>11574.0</v>
      </c>
      <c r="I41" s="13">
        <v>20573.0</v>
      </c>
      <c r="J41" s="13">
        <v>534.0</v>
      </c>
      <c r="K41" s="13">
        <v>4.387284112E9</v>
      </c>
      <c r="L41" s="12" t="s">
        <v>130</v>
      </c>
      <c r="M41" s="13">
        <v>1.37773608E8</v>
      </c>
      <c r="N41" s="12" t="s">
        <v>52</v>
      </c>
      <c r="O41" s="5"/>
      <c r="P41" s="5"/>
      <c r="Q41" s="5"/>
      <c r="R41" s="5"/>
      <c r="S41" s="5"/>
      <c r="T41" s="5"/>
      <c r="U41" s="5"/>
      <c r="V41" s="5"/>
      <c r="W41" s="5"/>
      <c r="X41" s="5"/>
      <c r="Y41" s="5"/>
      <c r="Z41" s="5"/>
      <c r="AA41" s="5"/>
    </row>
    <row r="42" ht="19.5" hidden="1" customHeight="1">
      <c r="A42" s="6">
        <v>40.0</v>
      </c>
      <c r="B42" s="7" t="s">
        <v>38</v>
      </c>
      <c r="C42" s="15" t="s">
        <v>12</v>
      </c>
      <c r="D42" s="9">
        <f t="shared" si="1"/>
        <v>0</v>
      </c>
      <c r="E42" s="10">
        <v>1.0</v>
      </c>
      <c r="F42" s="17" t="s">
        <v>131</v>
      </c>
      <c r="G42" s="12" t="s">
        <v>132</v>
      </c>
      <c r="H42" s="13">
        <v>11023.0</v>
      </c>
      <c r="I42" s="13">
        <v>44422.0</v>
      </c>
      <c r="J42" s="13">
        <v>554.0</v>
      </c>
      <c r="K42" s="13">
        <v>4.363607734E9</v>
      </c>
      <c r="L42" s="12" t="s">
        <v>118</v>
      </c>
      <c r="M42" s="13">
        <v>1.37773608E8</v>
      </c>
      <c r="N42" s="12" t="s">
        <v>52</v>
      </c>
      <c r="O42" s="5"/>
      <c r="P42" s="5"/>
      <c r="Q42" s="5"/>
      <c r="R42" s="5"/>
      <c r="S42" s="5"/>
      <c r="T42" s="5"/>
      <c r="U42" s="5"/>
      <c r="V42" s="5"/>
      <c r="W42" s="5"/>
      <c r="X42" s="5"/>
      <c r="Y42" s="5"/>
      <c r="Z42" s="5"/>
      <c r="AA42" s="5"/>
    </row>
    <row r="43" ht="19.5" customHeight="1">
      <c r="A43" s="6">
        <v>41.0</v>
      </c>
      <c r="B43" s="7" t="s">
        <v>55</v>
      </c>
      <c r="C43" s="15" t="s">
        <v>12</v>
      </c>
      <c r="D43" s="9">
        <f t="shared" si="1"/>
        <v>1</v>
      </c>
      <c r="E43" s="10"/>
      <c r="F43" s="11" t="s">
        <v>133</v>
      </c>
      <c r="G43" s="12" t="s">
        <v>134</v>
      </c>
      <c r="H43" s="13">
        <v>11206.0</v>
      </c>
      <c r="I43" s="13">
        <v>50249.0</v>
      </c>
      <c r="J43" s="13">
        <v>592.0</v>
      </c>
      <c r="K43" s="13">
        <v>1.48709879E8</v>
      </c>
      <c r="L43" s="12" t="s">
        <v>135</v>
      </c>
      <c r="M43" s="13">
        <v>1.37773608E8</v>
      </c>
      <c r="N43" s="12" t="s">
        <v>52</v>
      </c>
      <c r="O43" s="5"/>
      <c r="P43" s="5"/>
      <c r="Q43" s="5"/>
      <c r="R43" s="5"/>
      <c r="S43" s="5"/>
      <c r="T43" s="5"/>
      <c r="U43" s="5"/>
      <c r="V43" s="5"/>
      <c r="W43" s="5"/>
      <c r="X43" s="5"/>
      <c r="Y43" s="5"/>
      <c r="Z43" s="5"/>
      <c r="AA43" s="5"/>
    </row>
    <row r="44" ht="19.5" customHeight="1">
      <c r="A44" s="6">
        <v>42.0</v>
      </c>
      <c r="B44" s="7" t="s">
        <v>55</v>
      </c>
      <c r="C44" s="15" t="s">
        <v>12</v>
      </c>
      <c r="D44" s="9">
        <f t="shared" si="1"/>
        <v>1</v>
      </c>
      <c r="E44" s="10"/>
      <c r="F44" s="11" t="s">
        <v>136</v>
      </c>
      <c r="G44" s="12" t="s">
        <v>137</v>
      </c>
      <c r="H44" s="13">
        <v>11710.0</v>
      </c>
      <c r="I44" s="13">
        <v>45200.0</v>
      </c>
      <c r="J44" s="13">
        <v>641.0</v>
      </c>
      <c r="K44" s="13">
        <v>1.1622463E7</v>
      </c>
      <c r="L44" s="12" t="s">
        <v>138</v>
      </c>
      <c r="M44" s="13">
        <v>1.37773608E8</v>
      </c>
      <c r="N44" s="12" t="s">
        <v>52</v>
      </c>
      <c r="O44" s="5"/>
      <c r="P44" s="5"/>
      <c r="Q44" s="5"/>
      <c r="R44" s="5"/>
      <c r="S44" s="5"/>
      <c r="T44" s="5"/>
      <c r="U44" s="5"/>
      <c r="V44" s="5"/>
      <c r="W44" s="5"/>
      <c r="X44" s="5"/>
      <c r="Y44" s="5"/>
      <c r="Z44" s="5"/>
      <c r="AA44" s="5"/>
    </row>
    <row r="45" ht="19.5" customHeight="1">
      <c r="A45" s="6">
        <v>43.0</v>
      </c>
      <c r="B45" s="7" t="s">
        <v>55</v>
      </c>
      <c r="C45" s="15" t="s">
        <v>12</v>
      </c>
      <c r="D45" s="9">
        <f t="shared" si="1"/>
        <v>1</v>
      </c>
      <c r="E45" s="10"/>
      <c r="F45" s="11" t="s">
        <v>139</v>
      </c>
      <c r="G45" s="12" t="s">
        <v>140</v>
      </c>
      <c r="H45" s="13">
        <v>12254.0</v>
      </c>
      <c r="I45" s="13">
        <v>48773.0</v>
      </c>
      <c r="J45" s="13">
        <v>644.0</v>
      </c>
      <c r="K45" s="13">
        <v>5.2395412E7</v>
      </c>
      <c r="L45" s="12" t="s">
        <v>141</v>
      </c>
      <c r="M45" s="13">
        <v>1.37773608E8</v>
      </c>
      <c r="N45" s="12" t="s">
        <v>52</v>
      </c>
      <c r="O45" s="5"/>
      <c r="P45" s="5"/>
      <c r="Q45" s="5"/>
      <c r="R45" s="5"/>
      <c r="S45" s="5"/>
      <c r="T45" s="5"/>
      <c r="U45" s="5"/>
      <c r="V45" s="5"/>
      <c r="W45" s="5"/>
      <c r="X45" s="5"/>
      <c r="Y45" s="5"/>
      <c r="Z45" s="5"/>
      <c r="AA45" s="5"/>
    </row>
    <row r="46" ht="19.5" customHeight="1">
      <c r="A46" s="6">
        <v>44.0</v>
      </c>
      <c r="B46" s="7" t="s">
        <v>55</v>
      </c>
      <c r="C46" s="15" t="s">
        <v>12</v>
      </c>
      <c r="D46" s="9">
        <f t="shared" si="1"/>
        <v>1</v>
      </c>
      <c r="E46" s="10"/>
      <c r="F46" s="11" t="s">
        <v>142</v>
      </c>
      <c r="G46" s="12" t="s">
        <v>143</v>
      </c>
      <c r="H46" s="13">
        <v>11105.0</v>
      </c>
      <c r="I46" s="13">
        <v>73609.0</v>
      </c>
      <c r="J46" s="13">
        <v>655.0</v>
      </c>
      <c r="K46" s="13">
        <v>1.83492911E8</v>
      </c>
      <c r="L46" s="12" t="s">
        <v>84</v>
      </c>
      <c r="M46" s="13">
        <v>1.37773608E8</v>
      </c>
      <c r="N46" s="12" t="s">
        <v>52</v>
      </c>
      <c r="O46" s="5"/>
      <c r="P46" s="5"/>
      <c r="Q46" s="5"/>
      <c r="R46" s="5"/>
      <c r="S46" s="5"/>
      <c r="T46" s="5"/>
      <c r="U46" s="5"/>
      <c r="V46" s="5"/>
      <c r="W46" s="5"/>
      <c r="X46" s="5"/>
      <c r="Y46" s="5"/>
      <c r="Z46" s="5"/>
      <c r="AA46" s="5"/>
    </row>
    <row r="47" ht="19.5" hidden="1" customHeight="1">
      <c r="A47" s="6">
        <v>45.0</v>
      </c>
      <c r="B47" s="7" t="s">
        <v>55</v>
      </c>
      <c r="C47" s="15" t="s">
        <v>108</v>
      </c>
      <c r="D47" s="9">
        <f t="shared" si="1"/>
        <v>0</v>
      </c>
      <c r="E47" s="10">
        <v>1.0</v>
      </c>
      <c r="F47" s="16" t="s">
        <v>144</v>
      </c>
      <c r="G47" s="12" t="s">
        <v>145</v>
      </c>
      <c r="H47" s="13">
        <v>11490.0</v>
      </c>
      <c r="I47" s="13">
        <v>31899.0</v>
      </c>
      <c r="J47" s="13">
        <v>665.0</v>
      </c>
      <c r="K47" s="13">
        <v>5.5737203E7</v>
      </c>
      <c r="L47" s="12" t="s">
        <v>146</v>
      </c>
      <c r="M47" s="13">
        <v>1.37773608E8</v>
      </c>
      <c r="N47" s="12" t="s">
        <v>52</v>
      </c>
      <c r="O47" s="5"/>
      <c r="P47" s="5"/>
      <c r="Q47" s="5"/>
      <c r="R47" s="5"/>
      <c r="S47" s="5"/>
      <c r="T47" s="5"/>
      <c r="U47" s="5"/>
      <c r="V47" s="5"/>
      <c r="W47" s="5"/>
      <c r="X47" s="5"/>
      <c r="Y47" s="5"/>
      <c r="Z47" s="5"/>
      <c r="AA47" s="5"/>
    </row>
    <row r="48" ht="19.5" customHeight="1">
      <c r="A48" s="6">
        <v>46.0</v>
      </c>
      <c r="B48" s="7" t="s">
        <v>55</v>
      </c>
      <c r="C48" s="15" t="s">
        <v>12</v>
      </c>
      <c r="D48" s="9">
        <f t="shared" si="1"/>
        <v>1</v>
      </c>
      <c r="E48" s="10"/>
      <c r="F48" s="11" t="s">
        <v>147</v>
      </c>
      <c r="G48" s="12" t="s">
        <v>148</v>
      </c>
      <c r="H48" s="13">
        <v>11063.0</v>
      </c>
      <c r="I48" s="13">
        <v>62120.0</v>
      </c>
      <c r="J48" s="13">
        <v>690.0</v>
      </c>
      <c r="K48" s="13">
        <v>1.69411308E8</v>
      </c>
      <c r="L48" s="12" t="s">
        <v>149</v>
      </c>
      <c r="M48" s="13">
        <v>1.37773608E8</v>
      </c>
      <c r="N48" s="12" t="s">
        <v>52</v>
      </c>
      <c r="O48" s="5"/>
      <c r="P48" s="5"/>
      <c r="Q48" s="5"/>
      <c r="R48" s="5"/>
      <c r="S48" s="5"/>
      <c r="T48" s="5"/>
      <c r="U48" s="5"/>
      <c r="V48" s="5"/>
      <c r="W48" s="5"/>
      <c r="X48" s="5"/>
      <c r="Y48" s="5"/>
      <c r="Z48" s="5"/>
      <c r="AA48" s="5"/>
    </row>
    <row r="49" ht="19.5" customHeight="1">
      <c r="A49" s="6">
        <v>47.0</v>
      </c>
      <c r="B49" s="7" t="s">
        <v>55</v>
      </c>
      <c r="C49" s="15" t="s">
        <v>12</v>
      </c>
      <c r="D49" s="9">
        <f t="shared" si="1"/>
        <v>1</v>
      </c>
      <c r="E49" s="10"/>
      <c r="F49" s="11" t="s">
        <v>150</v>
      </c>
      <c r="G49" s="12" t="s">
        <v>151</v>
      </c>
      <c r="H49" s="13">
        <v>12535.0</v>
      </c>
      <c r="I49" s="13">
        <v>31734.0</v>
      </c>
      <c r="J49" s="13">
        <v>934.0</v>
      </c>
      <c r="K49" s="13">
        <v>4.210191458E9</v>
      </c>
      <c r="L49" s="12" t="s">
        <v>66</v>
      </c>
      <c r="M49" s="13">
        <v>1.37773608E8</v>
      </c>
      <c r="N49" s="12" t="s">
        <v>52</v>
      </c>
      <c r="O49" s="5"/>
      <c r="P49" s="5"/>
      <c r="Q49" s="5"/>
      <c r="R49" s="5"/>
      <c r="S49" s="5"/>
      <c r="T49" s="5"/>
      <c r="U49" s="5"/>
      <c r="V49" s="5"/>
      <c r="W49" s="5"/>
      <c r="X49" s="5"/>
      <c r="Y49" s="5"/>
      <c r="Z49" s="5"/>
      <c r="AA49" s="5"/>
    </row>
    <row r="50" ht="19.5" customHeight="1">
      <c r="A50" s="6">
        <v>48.0</v>
      </c>
      <c r="B50" s="7" t="s">
        <v>55</v>
      </c>
      <c r="C50" s="15" t="s">
        <v>12</v>
      </c>
      <c r="D50" s="9">
        <f t="shared" si="1"/>
        <v>1</v>
      </c>
      <c r="E50" s="10"/>
      <c r="F50" s="11" t="s">
        <v>152</v>
      </c>
      <c r="G50" s="12" t="s">
        <v>153</v>
      </c>
      <c r="H50" s="13">
        <v>10456.0</v>
      </c>
      <c r="I50" s="13">
        <v>35409.0</v>
      </c>
      <c r="J50" s="13">
        <v>944.0</v>
      </c>
      <c r="K50" s="13">
        <v>4.306417597E9</v>
      </c>
      <c r="L50" s="12" t="s">
        <v>154</v>
      </c>
      <c r="M50" s="13">
        <v>1.37773608E8</v>
      </c>
      <c r="N50" s="12" t="s">
        <v>52</v>
      </c>
      <c r="O50" s="5"/>
      <c r="P50" s="5"/>
      <c r="Q50" s="5"/>
      <c r="R50" s="5"/>
      <c r="S50" s="5"/>
      <c r="T50" s="5"/>
      <c r="U50" s="5"/>
      <c r="V50" s="5"/>
      <c r="W50" s="5"/>
      <c r="X50" s="5"/>
      <c r="Y50" s="5"/>
      <c r="Z50" s="5"/>
      <c r="AA50" s="5"/>
    </row>
    <row r="51" ht="19.5" customHeight="1">
      <c r="A51" s="6">
        <v>49.0</v>
      </c>
      <c r="B51" s="7" t="s">
        <v>55</v>
      </c>
      <c r="C51" s="15" t="s">
        <v>108</v>
      </c>
      <c r="D51" s="9">
        <f t="shared" si="1"/>
        <v>0</v>
      </c>
      <c r="E51" s="10"/>
      <c r="F51" s="11" t="s">
        <v>155</v>
      </c>
      <c r="G51" s="12" t="s">
        <v>156</v>
      </c>
      <c r="H51" s="13">
        <v>11775.0</v>
      </c>
      <c r="I51" s="13">
        <v>44854.0</v>
      </c>
      <c r="J51" s="13">
        <v>1017.0</v>
      </c>
      <c r="K51" s="13">
        <v>1.96734849E8</v>
      </c>
      <c r="L51" s="12" t="s">
        <v>23</v>
      </c>
      <c r="M51" s="13">
        <v>1.37773608E8</v>
      </c>
      <c r="N51" s="12" t="s">
        <v>52</v>
      </c>
      <c r="O51" s="5"/>
      <c r="P51" s="5"/>
      <c r="Q51" s="5"/>
      <c r="R51" s="5"/>
      <c r="S51" s="5"/>
      <c r="T51" s="5"/>
      <c r="U51" s="5"/>
      <c r="V51" s="5"/>
      <c r="W51" s="5"/>
      <c r="X51" s="5"/>
      <c r="Y51" s="5"/>
      <c r="Z51" s="5"/>
      <c r="AA51" s="5"/>
    </row>
    <row r="52" ht="19.5" customHeight="1">
      <c r="A52" s="6">
        <v>50.0</v>
      </c>
      <c r="B52" s="7" t="s">
        <v>55</v>
      </c>
      <c r="C52" s="15" t="s">
        <v>108</v>
      </c>
      <c r="D52" s="9">
        <f t="shared" si="1"/>
        <v>0</v>
      </c>
      <c r="E52" s="10"/>
      <c r="F52" s="11" t="s">
        <v>157</v>
      </c>
      <c r="G52" s="12" t="s">
        <v>158</v>
      </c>
      <c r="H52" s="13">
        <v>10616.0</v>
      </c>
      <c r="I52" s="13">
        <v>42348.0</v>
      </c>
      <c r="J52" s="13">
        <v>1093.0</v>
      </c>
      <c r="K52" s="13">
        <v>1.16775814E8</v>
      </c>
      <c r="L52" s="12" t="s">
        <v>159</v>
      </c>
      <c r="M52" s="13">
        <v>1.25754415E8</v>
      </c>
      <c r="N52" s="12" t="s">
        <v>76</v>
      </c>
      <c r="O52" s="5"/>
      <c r="P52" s="5"/>
      <c r="Q52" s="5"/>
      <c r="R52" s="5"/>
      <c r="S52" s="5"/>
      <c r="T52" s="5"/>
      <c r="U52" s="5"/>
      <c r="V52" s="5"/>
      <c r="W52" s="5"/>
      <c r="X52" s="5"/>
      <c r="Y52" s="5"/>
      <c r="Z52" s="5"/>
      <c r="AA52" s="5"/>
    </row>
    <row r="53" ht="19.5" customHeight="1">
      <c r="A53" s="6">
        <v>51.0</v>
      </c>
      <c r="B53" s="7" t="s">
        <v>55</v>
      </c>
      <c r="C53" s="15" t="s">
        <v>12</v>
      </c>
      <c r="D53" s="9">
        <f t="shared" si="1"/>
        <v>1</v>
      </c>
      <c r="E53" s="10"/>
      <c r="F53" s="11" t="s">
        <v>160</v>
      </c>
      <c r="G53" s="12" t="s">
        <v>161</v>
      </c>
      <c r="H53" s="13">
        <v>12422.0</v>
      </c>
      <c r="I53" s="13">
        <v>141226.0</v>
      </c>
      <c r="J53" s="13">
        <v>1211.0</v>
      </c>
      <c r="K53" s="13">
        <v>9.5522064E7</v>
      </c>
      <c r="L53" s="12" t="s">
        <v>162</v>
      </c>
      <c r="M53" s="13">
        <v>1.37773608E8</v>
      </c>
      <c r="N53" s="12" t="s">
        <v>52</v>
      </c>
      <c r="O53" s="5"/>
      <c r="P53" s="5"/>
      <c r="Q53" s="5"/>
      <c r="R53" s="5"/>
      <c r="S53" s="5"/>
      <c r="T53" s="5"/>
      <c r="U53" s="5"/>
      <c r="V53" s="5"/>
      <c r="W53" s="5"/>
      <c r="X53" s="5"/>
      <c r="Y53" s="5"/>
      <c r="Z53" s="5"/>
      <c r="AA53" s="5"/>
    </row>
    <row r="54" ht="19.5" customHeight="1">
      <c r="A54" s="6">
        <v>52.0</v>
      </c>
      <c r="B54" s="7" t="s">
        <v>55</v>
      </c>
      <c r="C54" s="15" t="s">
        <v>108</v>
      </c>
      <c r="D54" s="9">
        <f t="shared" si="1"/>
        <v>0</v>
      </c>
      <c r="E54" s="10"/>
      <c r="F54" s="11" t="s">
        <v>163</v>
      </c>
      <c r="G54" s="12" t="s">
        <v>164</v>
      </c>
      <c r="H54" s="13">
        <v>10862.0</v>
      </c>
      <c r="I54" s="13">
        <v>68013.0</v>
      </c>
      <c r="J54" s="13">
        <v>1279.0</v>
      </c>
      <c r="K54" s="13">
        <v>1.83492911E8</v>
      </c>
      <c r="L54" s="12" t="s">
        <v>84</v>
      </c>
      <c r="M54" s="13">
        <v>1.37773608E8</v>
      </c>
      <c r="N54" s="12" t="s">
        <v>52</v>
      </c>
      <c r="O54" s="5"/>
      <c r="P54" s="5"/>
      <c r="Q54" s="5"/>
      <c r="R54" s="5"/>
      <c r="S54" s="5"/>
      <c r="T54" s="5"/>
      <c r="U54" s="5"/>
      <c r="V54" s="5"/>
      <c r="W54" s="5"/>
      <c r="X54" s="5"/>
      <c r="Y54" s="5"/>
      <c r="Z54" s="5"/>
      <c r="AA54" s="5"/>
    </row>
    <row r="55" ht="19.5" customHeight="1">
      <c r="A55" s="6">
        <v>53.0</v>
      </c>
      <c r="B55" s="7" t="s">
        <v>55</v>
      </c>
      <c r="C55" s="15" t="s">
        <v>12</v>
      </c>
      <c r="D55" s="9">
        <f t="shared" si="1"/>
        <v>1</v>
      </c>
      <c r="E55" s="10"/>
      <c r="F55" s="11" t="s">
        <v>165</v>
      </c>
      <c r="G55" s="12" t="s">
        <v>166</v>
      </c>
      <c r="H55" s="13">
        <v>10820.0</v>
      </c>
      <c r="I55" s="13">
        <v>54098.0</v>
      </c>
      <c r="J55" s="13">
        <v>1416.0</v>
      </c>
      <c r="K55" s="13">
        <v>1.69411308E8</v>
      </c>
      <c r="L55" s="12" t="s">
        <v>149</v>
      </c>
      <c r="M55" s="13">
        <v>1.37773608E8</v>
      </c>
      <c r="N55" s="12" t="s">
        <v>52</v>
      </c>
      <c r="O55" s="5"/>
      <c r="P55" s="5"/>
      <c r="Q55" s="5"/>
      <c r="R55" s="5"/>
      <c r="S55" s="5"/>
      <c r="T55" s="5"/>
      <c r="U55" s="5"/>
      <c r="V55" s="5"/>
      <c r="W55" s="5"/>
      <c r="X55" s="5"/>
      <c r="Y55" s="5"/>
      <c r="Z55" s="5"/>
      <c r="AA55" s="5"/>
    </row>
    <row r="56" ht="19.5" customHeight="1">
      <c r="A56" s="6">
        <v>54.0</v>
      </c>
      <c r="B56" s="7" t="s">
        <v>38</v>
      </c>
      <c r="C56" s="15" t="s">
        <v>12</v>
      </c>
      <c r="D56" s="18">
        <f t="shared" si="1"/>
        <v>0</v>
      </c>
      <c r="E56" s="19"/>
      <c r="F56" s="17" t="s">
        <v>167</v>
      </c>
      <c r="G56" s="12" t="s">
        <v>168</v>
      </c>
      <c r="H56" s="13">
        <v>10191.0</v>
      </c>
      <c r="I56" s="13">
        <v>140829.0</v>
      </c>
      <c r="J56" s="13">
        <v>1618.0</v>
      </c>
      <c r="K56" s="13">
        <v>1.83492911E8</v>
      </c>
      <c r="L56" s="12" t="s">
        <v>84</v>
      </c>
      <c r="M56" s="13">
        <v>1.37773608E8</v>
      </c>
      <c r="N56" s="12" t="s">
        <v>52</v>
      </c>
      <c r="O56" s="5"/>
      <c r="P56" s="5"/>
      <c r="Q56" s="5"/>
      <c r="R56" s="5"/>
      <c r="S56" s="5"/>
      <c r="T56" s="5"/>
      <c r="U56" s="5"/>
      <c r="V56" s="5"/>
      <c r="W56" s="5"/>
      <c r="X56" s="5"/>
      <c r="Y56" s="5"/>
      <c r="Z56" s="5"/>
      <c r="AA56" s="5"/>
    </row>
    <row r="57" ht="19.5" hidden="1" customHeight="1">
      <c r="A57" s="6">
        <v>55.0</v>
      </c>
      <c r="B57" s="7" t="s">
        <v>38</v>
      </c>
      <c r="C57" s="15" t="s">
        <v>17</v>
      </c>
      <c r="D57" s="20">
        <f t="shared" si="1"/>
        <v>1</v>
      </c>
      <c r="E57" s="21">
        <v>1.0</v>
      </c>
      <c r="F57" s="11" t="s">
        <v>169</v>
      </c>
      <c r="G57" s="12" t="s">
        <v>170</v>
      </c>
      <c r="H57" s="13">
        <v>10955.0</v>
      </c>
      <c r="I57" s="13">
        <v>36304.0</v>
      </c>
      <c r="J57" s="13">
        <v>2140.0</v>
      </c>
      <c r="K57" s="13">
        <v>234478.0</v>
      </c>
      <c r="L57" s="12" t="s">
        <v>171</v>
      </c>
      <c r="M57" s="13">
        <v>1.37773608E8</v>
      </c>
      <c r="N57" s="12" t="s">
        <v>52</v>
      </c>
      <c r="O57" s="5"/>
      <c r="P57" s="5"/>
      <c r="Q57" s="5"/>
      <c r="R57" s="5"/>
      <c r="S57" s="5"/>
      <c r="T57" s="5"/>
      <c r="U57" s="5"/>
      <c r="V57" s="5"/>
      <c r="W57" s="5"/>
      <c r="X57" s="5"/>
      <c r="Y57" s="5"/>
      <c r="Z57" s="5"/>
      <c r="AA57" s="5"/>
    </row>
    <row r="58" ht="19.5" customHeight="1">
      <c r="A58" s="6">
        <v>56.0</v>
      </c>
      <c r="B58" s="7" t="s">
        <v>55</v>
      </c>
      <c r="C58" s="15" t="s">
        <v>12</v>
      </c>
      <c r="D58" s="20">
        <f t="shared" si="1"/>
        <v>1</v>
      </c>
      <c r="E58" s="21"/>
      <c r="F58" s="11" t="s">
        <v>172</v>
      </c>
      <c r="G58" s="12" t="s">
        <v>173</v>
      </c>
      <c r="H58" s="13">
        <v>10181.0</v>
      </c>
      <c r="I58" s="13">
        <v>159552.0</v>
      </c>
      <c r="J58" s="13">
        <v>2456.0</v>
      </c>
      <c r="K58" s="13">
        <v>4.306424877E9</v>
      </c>
      <c r="L58" s="12" t="s">
        <v>174</v>
      </c>
      <c r="M58" s="13">
        <v>1.37773608E8</v>
      </c>
      <c r="N58" s="12" t="s">
        <v>52</v>
      </c>
      <c r="O58" s="5"/>
      <c r="P58" s="5"/>
      <c r="Q58" s="5"/>
      <c r="R58" s="5"/>
      <c r="S58" s="5"/>
      <c r="T58" s="5"/>
      <c r="U58" s="5"/>
      <c r="V58" s="5"/>
      <c r="W58" s="5"/>
      <c r="X58" s="5"/>
      <c r="Y58" s="5"/>
      <c r="Z58" s="5"/>
      <c r="AA58" s="5"/>
    </row>
    <row r="59" ht="19.5" customHeight="1">
      <c r="A59" s="6">
        <v>57.0</v>
      </c>
      <c r="B59" s="7" t="s">
        <v>55</v>
      </c>
      <c r="C59" s="15" t="s">
        <v>12</v>
      </c>
      <c r="D59" s="20">
        <f t="shared" si="1"/>
        <v>1</v>
      </c>
      <c r="E59" s="21"/>
      <c r="F59" s="11" t="s">
        <v>175</v>
      </c>
      <c r="G59" s="12" t="s">
        <v>176</v>
      </c>
      <c r="H59" s="13">
        <v>10215.0</v>
      </c>
      <c r="I59" s="13">
        <v>111860.0</v>
      </c>
      <c r="J59" s="13">
        <v>2855.0</v>
      </c>
      <c r="K59" s="13">
        <v>4.306420577E9</v>
      </c>
      <c r="L59" s="12" t="s">
        <v>124</v>
      </c>
      <c r="M59" s="13">
        <v>1.37773608E8</v>
      </c>
      <c r="N59" s="12" t="s">
        <v>52</v>
      </c>
      <c r="O59" s="5"/>
      <c r="P59" s="5"/>
      <c r="Q59" s="5"/>
      <c r="R59" s="5"/>
      <c r="S59" s="5"/>
      <c r="T59" s="5"/>
      <c r="U59" s="5"/>
      <c r="V59" s="5"/>
      <c r="W59" s="5"/>
      <c r="X59" s="5"/>
      <c r="Y59" s="5"/>
      <c r="Z59" s="5"/>
      <c r="AA59" s="5"/>
    </row>
    <row r="60" ht="19.5" customHeight="1">
      <c r="A60" s="6">
        <v>58.0</v>
      </c>
      <c r="B60" s="7" t="s">
        <v>55</v>
      </c>
      <c r="C60" s="15" t="s">
        <v>12</v>
      </c>
      <c r="D60" s="20">
        <f t="shared" si="1"/>
        <v>1</v>
      </c>
      <c r="E60" s="21"/>
      <c r="F60" s="11" t="s">
        <v>177</v>
      </c>
      <c r="G60" s="12" t="s">
        <v>178</v>
      </c>
      <c r="H60" s="13">
        <v>10320.0</v>
      </c>
      <c r="I60" s="13">
        <v>154861.0</v>
      </c>
      <c r="J60" s="13">
        <v>3167.0</v>
      </c>
      <c r="K60" s="13">
        <v>4.5693802E7</v>
      </c>
      <c r="L60" s="12" t="s">
        <v>95</v>
      </c>
      <c r="M60" s="13">
        <v>1.37773608E8</v>
      </c>
      <c r="N60" s="12" t="s">
        <v>52</v>
      </c>
      <c r="O60" s="5"/>
      <c r="P60" s="5"/>
      <c r="Q60" s="5"/>
      <c r="R60" s="5"/>
      <c r="S60" s="5"/>
      <c r="T60" s="5"/>
      <c r="U60" s="5"/>
      <c r="V60" s="5"/>
      <c r="W60" s="5"/>
      <c r="X60" s="5"/>
      <c r="Y60" s="5"/>
      <c r="Z60" s="5"/>
      <c r="AA60" s="5"/>
    </row>
    <row r="61" ht="19.5" hidden="1" customHeight="1">
      <c r="A61" s="6">
        <v>59.0</v>
      </c>
      <c r="B61" s="7" t="s">
        <v>38</v>
      </c>
      <c r="C61" s="15" t="s">
        <v>17</v>
      </c>
      <c r="D61" s="20">
        <f t="shared" si="1"/>
        <v>1</v>
      </c>
      <c r="E61" s="21">
        <v>1.0</v>
      </c>
      <c r="F61" s="11" t="s">
        <v>179</v>
      </c>
      <c r="G61" s="12" t="s">
        <v>180</v>
      </c>
      <c r="H61" s="13">
        <v>10109.0</v>
      </c>
      <c r="I61" s="13">
        <v>100450.0</v>
      </c>
      <c r="J61" s="13">
        <v>3399.0</v>
      </c>
      <c r="K61" s="13">
        <v>1.59210951E8</v>
      </c>
      <c r="L61" s="12" t="s">
        <v>181</v>
      </c>
      <c r="M61" s="13">
        <v>1.37773608E8</v>
      </c>
      <c r="N61" s="12" t="s">
        <v>52</v>
      </c>
      <c r="O61" s="5"/>
      <c r="P61" s="5"/>
      <c r="Q61" s="5"/>
      <c r="R61" s="5"/>
      <c r="S61" s="5"/>
      <c r="T61" s="5"/>
      <c r="U61" s="5"/>
      <c r="V61" s="5"/>
      <c r="W61" s="5"/>
      <c r="X61" s="5"/>
      <c r="Y61" s="5"/>
      <c r="Z61" s="5"/>
      <c r="AA61" s="5"/>
    </row>
    <row r="62" ht="19.5" hidden="1" customHeight="1">
      <c r="A62" s="6">
        <v>60.0</v>
      </c>
      <c r="B62" s="7" t="s">
        <v>38</v>
      </c>
      <c r="C62" s="15" t="s">
        <v>17</v>
      </c>
      <c r="D62" s="20">
        <f t="shared" si="1"/>
        <v>1</v>
      </c>
      <c r="E62" s="21">
        <v>1.0</v>
      </c>
      <c r="F62" s="11" t="s">
        <v>182</v>
      </c>
      <c r="G62" s="12" t="s">
        <v>183</v>
      </c>
      <c r="H62" s="13">
        <v>11354.0</v>
      </c>
      <c r="I62" s="13">
        <v>71764.0</v>
      </c>
      <c r="J62" s="13">
        <v>4435.0</v>
      </c>
      <c r="K62" s="13">
        <v>234478.0</v>
      </c>
      <c r="L62" s="12" t="s">
        <v>171</v>
      </c>
      <c r="M62" s="13">
        <v>1.37773608E8</v>
      </c>
      <c r="N62" s="12" t="s">
        <v>52</v>
      </c>
      <c r="O62" s="5"/>
      <c r="P62" s="5"/>
      <c r="Q62" s="5"/>
      <c r="R62" s="5"/>
      <c r="S62" s="5"/>
      <c r="T62" s="5"/>
      <c r="U62" s="5"/>
      <c r="V62" s="5"/>
      <c r="W62" s="5"/>
      <c r="X62" s="5"/>
      <c r="Y62" s="5"/>
      <c r="Z62" s="5"/>
      <c r="AA62" s="5"/>
    </row>
    <row r="63" ht="14.25" customHeight="1">
      <c r="A63" s="22"/>
      <c r="B63" s="23"/>
      <c r="C63" s="23"/>
      <c r="D63" s="23"/>
      <c r="E63" s="23"/>
      <c r="F63" s="23"/>
      <c r="G63" s="23"/>
      <c r="H63" s="23"/>
      <c r="I63" s="23"/>
      <c r="J63" s="23"/>
      <c r="K63" s="23"/>
      <c r="L63" s="23"/>
      <c r="M63" s="23"/>
      <c r="N63" s="24"/>
      <c r="O63" s="5"/>
      <c r="P63" s="5"/>
      <c r="Q63" s="5"/>
      <c r="R63" s="5"/>
      <c r="S63" s="5"/>
      <c r="T63" s="5"/>
      <c r="U63" s="5"/>
      <c r="V63" s="5"/>
      <c r="W63" s="5"/>
      <c r="X63" s="5"/>
      <c r="Y63" s="5"/>
      <c r="Z63" s="5"/>
      <c r="AA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autoFilter ref="$A$1:$AA$999">
    <filterColumn colId="4">
      <filters blank="1"/>
    </filterColumn>
  </autoFilter>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57"/>
  </cols>
  <sheetData>
    <row r="1">
      <c r="A1" s="2" t="s">
        <v>184</v>
      </c>
      <c r="B1" s="2" t="s">
        <v>185</v>
      </c>
      <c r="C1" s="2" t="s">
        <v>5</v>
      </c>
    </row>
    <row r="2">
      <c r="A2" s="11" t="s">
        <v>13</v>
      </c>
      <c r="B2" s="12" t="s">
        <v>14</v>
      </c>
      <c r="C2" s="13">
        <v>13647.0</v>
      </c>
    </row>
    <row r="3">
      <c r="A3" s="11" t="s">
        <v>20</v>
      </c>
      <c r="B3" s="12" t="s">
        <v>21</v>
      </c>
      <c r="C3" s="13">
        <v>14174.0</v>
      </c>
    </row>
    <row r="4">
      <c r="A4" s="11" t="s">
        <v>24</v>
      </c>
      <c r="B4" s="12" t="s">
        <v>25</v>
      </c>
      <c r="C4" s="13">
        <v>13904.0</v>
      </c>
    </row>
    <row r="5">
      <c r="A5" s="11" t="s">
        <v>30</v>
      </c>
      <c r="B5" s="12" t="s">
        <v>31</v>
      </c>
      <c r="C5" s="13">
        <v>13373.0</v>
      </c>
    </row>
    <row r="6">
      <c r="A6" s="11" t="s">
        <v>33</v>
      </c>
      <c r="B6" s="12" t="s">
        <v>34</v>
      </c>
      <c r="C6" s="13">
        <v>13693.0</v>
      </c>
    </row>
    <row r="7">
      <c r="A7" s="11" t="s">
        <v>43</v>
      </c>
      <c r="B7" s="12" t="s">
        <v>44</v>
      </c>
      <c r="C7" s="13">
        <v>13038.0</v>
      </c>
    </row>
    <row r="8">
      <c r="A8" s="11" t="s">
        <v>56</v>
      </c>
      <c r="B8" s="12" t="s">
        <v>57</v>
      </c>
      <c r="C8" s="13">
        <v>13702.0</v>
      </c>
    </row>
    <row r="9">
      <c r="A9" s="11" t="s">
        <v>58</v>
      </c>
      <c r="B9" s="12" t="s">
        <v>59</v>
      </c>
      <c r="C9" s="13">
        <v>11714.0</v>
      </c>
    </row>
    <row r="10">
      <c r="A10" s="11" t="s">
        <v>61</v>
      </c>
      <c r="B10" s="12" t="s">
        <v>62</v>
      </c>
      <c r="C10" s="13">
        <v>13643.0</v>
      </c>
    </row>
    <row r="11">
      <c r="A11" s="11" t="s">
        <v>64</v>
      </c>
      <c r="B11" s="12" t="s">
        <v>65</v>
      </c>
      <c r="C11" s="13">
        <v>12026.0</v>
      </c>
    </row>
    <row r="12">
      <c r="A12" s="17" t="s">
        <v>67</v>
      </c>
      <c r="B12" s="12" t="s">
        <v>68</v>
      </c>
      <c r="C12" s="13">
        <v>11486.0</v>
      </c>
    </row>
    <row r="13">
      <c r="A13" s="17" t="s">
        <v>70</v>
      </c>
      <c r="B13" s="12" t="s">
        <v>71</v>
      </c>
      <c r="C13" s="13">
        <v>10868.0</v>
      </c>
    </row>
    <row r="14">
      <c r="A14" s="11" t="s">
        <v>73</v>
      </c>
      <c r="B14" s="12" t="s">
        <v>74</v>
      </c>
      <c r="C14" s="13">
        <v>11273.0</v>
      </c>
    </row>
    <row r="15">
      <c r="A15" s="11" t="s">
        <v>77</v>
      </c>
      <c r="B15" s="12" t="s">
        <v>78</v>
      </c>
      <c r="C15" s="13">
        <v>11689.0</v>
      </c>
    </row>
    <row r="16">
      <c r="A16" s="17" t="s">
        <v>82</v>
      </c>
      <c r="B16" s="12" t="s">
        <v>83</v>
      </c>
      <c r="C16" s="13">
        <v>12923.0</v>
      </c>
    </row>
    <row r="17">
      <c r="A17" s="11" t="s">
        <v>88</v>
      </c>
      <c r="B17" s="12" t="s">
        <v>89</v>
      </c>
      <c r="C17" s="13">
        <v>11396.0</v>
      </c>
    </row>
    <row r="18">
      <c r="A18" s="17" t="s">
        <v>91</v>
      </c>
      <c r="B18" s="12" t="s">
        <v>92</v>
      </c>
      <c r="C18" s="13">
        <v>12983.0</v>
      </c>
    </row>
    <row r="19">
      <c r="A19" s="11" t="s">
        <v>93</v>
      </c>
      <c r="B19" s="12" t="s">
        <v>94</v>
      </c>
      <c r="C19" s="13">
        <v>12676.0</v>
      </c>
    </row>
    <row r="20">
      <c r="A20" s="11" t="s">
        <v>96</v>
      </c>
      <c r="B20" s="12" t="s">
        <v>97</v>
      </c>
      <c r="C20" s="13">
        <v>11347.0</v>
      </c>
    </row>
    <row r="21">
      <c r="A21" s="11" t="s">
        <v>100</v>
      </c>
      <c r="B21" s="12" t="s">
        <v>101</v>
      </c>
      <c r="C21" s="13">
        <v>12072.0</v>
      </c>
    </row>
    <row r="22">
      <c r="A22" s="11" t="s">
        <v>105</v>
      </c>
      <c r="B22" s="12" t="s">
        <v>106</v>
      </c>
      <c r="C22" s="13">
        <v>12002.0</v>
      </c>
    </row>
    <row r="23">
      <c r="A23" s="11" t="s">
        <v>109</v>
      </c>
      <c r="B23" s="12" t="s">
        <v>110</v>
      </c>
      <c r="C23" s="13">
        <v>11636.0</v>
      </c>
    </row>
    <row r="24">
      <c r="A24" s="11" t="s">
        <v>112</v>
      </c>
      <c r="B24" s="12" t="s">
        <v>113</v>
      </c>
      <c r="C24" s="13">
        <v>12611.0</v>
      </c>
    </row>
    <row r="25">
      <c r="A25" s="11" t="s">
        <v>114</v>
      </c>
      <c r="B25" s="12" t="s">
        <v>115</v>
      </c>
      <c r="C25" s="13">
        <v>13114.0</v>
      </c>
    </row>
    <row r="26">
      <c r="A26" s="11" t="s">
        <v>116</v>
      </c>
      <c r="B26" s="12" t="s">
        <v>117</v>
      </c>
      <c r="C26" s="13">
        <v>10462.0</v>
      </c>
    </row>
    <row r="27">
      <c r="A27" s="11" t="s">
        <v>119</v>
      </c>
      <c r="B27" s="12" t="s">
        <v>120</v>
      </c>
      <c r="C27" s="13">
        <v>11948.0</v>
      </c>
    </row>
    <row r="28">
      <c r="A28" s="11" t="s">
        <v>122</v>
      </c>
      <c r="B28" s="12" t="s">
        <v>123</v>
      </c>
      <c r="C28" s="13">
        <v>10906.0</v>
      </c>
    </row>
    <row r="29">
      <c r="A29" s="11" t="s">
        <v>128</v>
      </c>
      <c r="B29" s="12" t="s">
        <v>129</v>
      </c>
      <c r="C29" s="13">
        <v>11574.0</v>
      </c>
    </row>
    <row r="30">
      <c r="A30" s="11" t="s">
        <v>133</v>
      </c>
      <c r="B30" s="12" t="s">
        <v>134</v>
      </c>
      <c r="C30" s="13">
        <v>11206.0</v>
      </c>
    </row>
    <row r="31">
      <c r="A31" s="11" t="s">
        <v>136</v>
      </c>
      <c r="B31" s="12" t="s">
        <v>137</v>
      </c>
      <c r="C31" s="13">
        <v>11710.0</v>
      </c>
    </row>
    <row r="32">
      <c r="A32" s="11" t="s">
        <v>139</v>
      </c>
      <c r="B32" s="12" t="s">
        <v>140</v>
      </c>
      <c r="C32" s="13">
        <v>12254.0</v>
      </c>
    </row>
    <row r="33">
      <c r="A33" s="11" t="s">
        <v>142</v>
      </c>
      <c r="B33" s="12" t="s">
        <v>143</v>
      </c>
      <c r="C33" s="13">
        <v>11105.0</v>
      </c>
    </row>
    <row r="34">
      <c r="A34" s="11" t="s">
        <v>147</v>
      </c>
      <c r="B34" s="12" t="s">
        <v>148</v>
      </c>
      <c r="C34" s="13">
        <v>11063.0</v>
      </c>
    </row>
    <row r="35">
      <c r="A35" s="11" t="s">
        <v>150</v>
      </c>
      <c r="B35" s="12" t="s">
        <v>151</v>
      </c>
      <c r="C35" s="13">
        <v>12535.0</v>
      </c>
    </row>
    <row r="36">
      <c r="A36" s="11" t="s">
        <v>152</v>
      </c>
      <c r="B36" s="12" t="s">
        <v>153</v>
      </c>
      <c r="C36" s="13">
        <v>10456.0</v>
      </c>
    </row>
    <row r="37">
      <c r="A37" s="11" t="s">
        <v>155</v>
      </c>
      <c r="B37" s="12" t="s">
        <v>156</v>
      </c>
      <c r="C37" s="13">
        <v>11775.0</v>
      </c>
    </row>
    <row r="38">
      <c r="A38" s="11" t="s">
        <v>157</v>
      </c>
      <c r="B38" s="12" t="s">
        <v>158</v>
      </c>
      <c r="C38" s="13">
        <v>10616.0</v>
      </c>
    </row>
    <row r="39">
      <c r="A39" s="11" t="s">
        <v>160</v>
      </c>
      <c r="B39" s="12" t="s">
        <v>161</v>
      </c>
      <c r="C39" s="13">
        <v>12422.0</v>
      </c>
    </row>
    <row r="40">
      <c r="A40" s="11" t="s">
        <v>163</v>
      </c>
      <c r="B40" s="12" t="s">
        <v>164</v>
      </c>
      <c r="C40" s="13">
        <v>10862.0</v>
      </c>
    </row>
    <row r="41">
      <c r="A41" s="11" t="s">
        <v>165</v>
      </c>
      <c r="B41" s="12" t="s">
        <v>166</v>
      </c>
      <c r="C41" s="13">
        <v>10820.0</v>
      </c>
    </row>
    <row r="42">
      <c r="A42" s="17" t="s">
        <v>167</v>
      </c>
      <c r="B42" s="12" t="s">
        <v>168</v>
      </c>
      <c r="C42" s="13">
        <v>10191.0</v>
      </c>
    </row>
    <row r="43">
      <c r="A43" s="11" t="s">
        <v>172</v>
      </c>
      <c r="B43" s="12" t="s">
        <v>173</v>
      </c>
      <c r="C43" s="13">
        <v>10181.0</v>
      </c>
    </row>
    <row r="44">
      <c r="A44" s="11" t="s">
        <v>175</v>
      </c>
      <c r="B44" s="12" t="s">
        <v>176</v>
      </c>
      <c r="C44" s="13">
        <v>10215.0</v>
      </c>
    </row>
    <row r="45">
      <c r="A45" s="11" t="s">
        <v>177</v>
      </c>
      <c r="B45" s="12" t="s">
        <v>178</v>
      </c>
      <c r="C45" s="13">
        <v>10320.0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0"/>
    <col customWidth="1" min="2" max="2" width="7.86"/>
    <col customWidth="1" min="3" max="3" width="7.0"/>
    <col customWidth="1" min="4" max="4" width="8.86"/>
  </cols>
  <sheetData>
    <row r="1">
      <c r="A1" s="25" t="s">
        <v>186</v>
      </c>
      <c r="B1" s="25" t="s">
        <v>187</v>
      </c>
      <c r="C1" s="25" t="s">
        <v>188</v>
      </c>
      <c r="D1" s="25" t="s">
        <v>189</v>
      </c>
    </row>
    <row r="2">
      <c r="A2" s="26" t="s">
        <v>13</v>
      </c>
      <c r="B2" s="27">
        <v>13647.0</v>
      </c>
      <c r="C2" s="27">
        <v>2430.0</v>
      </c>
      <c r="D2" s="27">
        <v>1.0</v>
      </c>
    </row>
    <row r="3">
      <c r="A3" s="26" t="s">
        <v>20</v>
      </c>
      <c r="B3" s="27">
        <v>14174.0</v>
      </c>
      <c r="C3" s="27">
        <v>577.0</v>
      </c>
      <c r="D3" s="27">
        <v>4.0</v>
      </c>
    </row>
    <row r="4">
      <c r="A4" s="26" t="s">
        <v>24</v>
      </c>
      <c r="B4" s="27">
        <v>13904.0</v>
      </c>
      <c r="C4" s="27">
        <v>1094.0</v>
      </c>
      <c r="D4" s="27">
        <v>4.0</v>
      </c>
    </row>
    <row r="5">
      <c r="A5" s="26" t="s">
        <v>30</v>
      </c>
      <c r="B5" s="27">
        <v>13373.0</v>
      </c>
      <c r="C5" s="27">
        <v>31691.0</v>
      </c>
      <c r="D5" s="27">
        <v>11.0</v>
      </c>
    </row>
    <row r="6">
      <c r="A6" s="26" t="s">
        <v>33</v>
      </c>
      <c r="B6" s="27">
        <v>13693.0</v>
      </c>
      <c r="C6" s="27">
        <v>2293.0</v>
      </c>
      <c r="D6" s="27">
        <v>11.0</v>
      </c>
    </row>
    <row r="7">
      <c r="A7" s="26" t="s">
        <v>43</v>
      </c>
      <c r="B7" s="27">
        <v>13038.0</v>
      </c>
      <c r="C7" s="27">
        <v>5000.0</v>
      </c>
      <c r="D7" s="27">
        <v>25.0</v>
      </c>
    </row>
    <row r="8">
      <c r="A8" s="26" t="s">
        <v>56</v>
      </c>
      <c r="B8" s="27">
        <v>13702.0</v>
      </c>
      <c r="C8" s="27">
        <v>22775.0</v>
      </c>
      <c r="D8" s="27">
        <v>207.0</v>
      </c>
    </row>
    <row r="9">
      <c r="A9" s="26" t="s">
        <v>58</v>
      </c>
      <c r="B9" s="27">
        <v>11714.0</v>
      </c>
      <c r="C9" s="27">
        <v>39226.0</v>
      </c>
      <c r="D9" s="27">
        <v>211.0</v>
      </c>
    </row>
    <row r="10">
      <c r="A10" s="26" t="s">
        <v>61</v>
      </c>
      <c r="B10" s="27">
        <v>13643.0</v>
      </c>
      <c r="C10" s="27">
        <v>10508.0</v>
      </c>
      <c r="D10" s="27">
        <v>211.0</v>
      </c>
    </row>
    <row r="11">
      <c r="A11" s="26" t="s">
        <v>64</v>
      </c>
      <c r="B11" s="27">
        <v>12026.0</v>
      </c>
      <c r="C11" s="27">
        <v>13571.0</v>
      </c>
      <c r="D11" s="27">
        <v>212.0</v>
      </c>
    </row>
    <row r="12">
      <c r="A12" s="26" t="s">
        <v>67</v>
      </c>
      <c r="B12" s="27">
        <v>11486.0</v>
      </c>
      <c r="C12" s="27">
        <v>41844.0</v>
      </c>
      <c r="D12" s="27">
        <v>229.0</v>
      </c>
    </row>
    <row r="13">
      <c r="A13" s="26" t="s">
        <v>70</v>
      </c>
      <c r="B13" s="27">
        <v>10868.0</v>
      </c>
      <c r="C13" s="27">
        <v>54578.0</v>
      </c>
      <c r="D13" s="27">
        <v>229.0</v>
      </c>
    </row>
    <row r="14">
      <c r="A14" s="26" t="s">
        <v>73</v>
      </c>
      <c r="B14" s="27">
        <v>11273.0</v>
      </c>
      <c r="C14" s="27">
        <v>33480.0</v>
      </c>
      <c r="D14" s="27">
        <v>233.0</v>
      </c>
    </row>
    <row r="15">
      <c r="A15" s="26" t="s">
        <v>77</v>
      </c>
      <c r="B15" s="27">
        <v>11689.0</v>
      </c>
      <c r="C15" s="27">
        <v>29235.0</v>
      </c>
      <c r="D15" s="27">
        <v>249.0</v>
      </c>
    </row>
    <row r="16">
      <c r="A16" s="26" t="s">
        <v>82</v>
      </c>
      <c r="B16" s="27">
        <v>12923.0</v>
      </c>
      <c r="C16" s="27">
        <v>23610.0</v>
      </c>
      <c r="D16" s="27">
        <v>293.0</v>
      </c>
    </row>
    <row r="17">
      <c r="A17" s="26" t="s">
        <v>88</v>
      </c>
      <c r="B17" s="27">
        <v>11396.0</v>
      </c>
      <c r="C17" s="27">
        <v>28339.0</v>
      </c>
      <c r="D17" s="27">
        <v>319.0</v>
      </c>
    </row>
    <row r="18">
      <c r="A18" s="26" t="s">
        <v>91</v>
      </c>
      <c r="B18" s="27">
        <v>12983.0</v>
      </c>
      <c r="C18" s="27">
        <v>16017.0</v>
      </c>
      <c r="D18" s="27">
        <v>336.0</v>
      </c>
    </row>
    <row r="19">
      <c r="A19" s="26" t="s">
        <v>93</v>
      </c>
      <c r="B19" s="27">
        <v>12676.0</v>
      </c>
      <c r="C19" s="27">
        <v>28175.0</v>
      </c>
      <c r="D19" s="27">
        <v>361.0</v>
      </c>
    </row>
    <row r="20">
      <c r="A20" s="26" t="s">
        <v>96</v>
      </c>
      <c r="B20" s="27">
        <v>11347.0</v>
      </c>
      <c r="C20" s="27">
        <v>57240.0</v>
      </c>
      <c r="D20" s="27">
        <v>377.0</v>
      </c>
    </row>
    <row r="21">
      <c r="A21" s="26" t="s">
        <v>100</v>
      </c>
      <c r="B21" s="27">
        <v>12072.0</v>
      </c>
      <c r="C21" s="27">
        <v>36548.0</v>
      </c>
      <c r="D21" s="27">
        <v>385.0</v>
      </c>
    </row>
    <row r="22">
      <c r="A22" s="26" t="s">
        <v>105</v>
      </c>
      <c r="B22" s="27">
        <v>12002.0</v>
      </c>
      <c r="C22" s="27">
        <v>37651.0</v>
      </c>
      <c r="D22" s="27">
        <v>441.0</v>
      </c>
    </row>
    <row r="23">
      <c r="A23" s="26" t="s">
        <v>109</v>
      </c>
      <c r="B23" s="27">
        <v>11636.0</v>
      </c>
      <c r="C23" s="27">
        <v>27982.0</v>
      </c>
      <c r="D23" s="27">
        <v>455.0</v>
      </c>
    </row>
    <row r="24">
      <c r="A24" s="26" t="s">
        <v>112</v>
      </c>
      <c r="B24" s="27">
        <v>12611.0</v>
      </c>
      <c r="C24" s="27">
        <v>38677.0</v>
      </c>
      <c r="D24" s="27">
        <v>498.0</v>
      </c>
    </row>
    <row r="25">
      <c r="A25" s="26" t="s">
        <v>114</v>
      </c>
      <c r="B25" s="27">
        <v>13114.0</v>
      </c>
      <c r="C25" s="27">
        <v>84388.0</v>
      </c>
      <c r="D25" s="27">
        <v>518.0</v>
      </c>
    </row>
    <row r="26">
      <c r="A26" s="26" t="s">
        <v>116</v>
      </c>
      <c r="B26" s="27">
        <v>10462.0</v>
      </c>
      <c r="C26" s="27">
        <v>36381.0</v>
      </c>
      <c r="D26" s="27">
        <v>522.0</v>
      </c>
    </row>
    <row r="27">
      <c r="A27" s="26" t="s">
        <v>119</v>
      </c>
      <c r="B27" s="27">
        <v>11948.0</v>
      </c>
      <c r="C27" s="27">
        <v>52635.0</v>
      </c>
      <c r="D27" s="27">
        <v>523.0</v>
      </c>
    </row>
    <row r="28">
      <c r="A28" s="26" t="s">
        <v>122</v>
      </c>
      <c r="B28" s="27">
        <v>10906.0</v>
      </c>
      <c r="C28" s="27">
        <v>35016.0</v>
      </c>
      <c r="D28" s="27">
        <v>523.0</v>
      </c>
    </row>
    <row r="29">
      <c r="A29" s="26" t="s">
        <v>128</v>
      </c>
      <c r="B29" s="27">
        <v>11574.0</v>
      </c>
      <c r="C29" s="27">
        <v>20573.0</v>
      </c>
      <c r="D29" s="27">
        <v>534.0</v>
      </c>
    </row>
    <row r="30">
      <c r="A30" s="26" t="s">
        <v>133</v>
      </c>
      <c r="B30" s="27">
        <v>11206.0</v>
      </c>
      <c r="C30" s="27">
        <v>50249.0</v>
      </c>
      <c r="D30" s="27">
        <v>592.0</v>
      </c>
    </row>
    <row r="31">
      <c r="A31" s="26" t="s">
        <v>136</v>
      </c>
      <c r="B31" s="27">
        <v>11710.0</v>
      </c>
      <c r="C31" s="27">
        <v>45200.0</v>
      </c>
      <c r="D31" s="27">
        <v>641.0</v>
      </c>
    </row>
    <row r="32">
      <c r="A32" s="26" t="s">
        <v>139</v>
      </c>
      <c r="B32" s="27">
        <v>12254.0</v>
      </c>
      <c r="C32" s="27">
        <v>48773.0</v>
      </c>
      <c r="D32" s="27">
        <v>644.0</v>
      </c>
    </row>
    <row r="33">
      <c r="A33" s="26" t="s">
        <v>142</v>
      </c>
      <c r="B33" s="27">
        <v>11105.0</v>
      </c>
      <c r="C33" s="27">
        <v>73609.0</v>
      </c>
      <c r="D33" s="27">
        <v>655.0</v>
      </c>
    </row>
    <row r="34">
      <c r="A34" s="26" t="s">
        <v>147</v>
      </c>
      <c r="B34" s="27">
        <v>11063.0</v>
      </c>
      <c r="C34" s="27">
        <v>62120.0</v>
      </c>
      <c r="D34" s="27">
        <v>690.0</v>
      </c>
    </row>
    <row r="35">
      <c r="A35" s="26" t="s">
        <v>150</v>
      </c>
      <c r="B35" s="27">
        <v>12535.0</v>
      </c>
      <c r="C35" s="27">
        <v>31734.0</v>
      </c>
      <c r="D35" s="27">
        <v>934.0</v>
      </c>
    </row>
    <row r="36">
      <c r="A36" s="26" t="s">
        <v>152</v>
      </c>
      <c r="B36" s="27">
        <v>10456.0</v>
      </c>
      <c r="C36" s="27">
        <v>35409.0</v>
      </c>
      <c r="D36" s="27">
        <v>944.0</v>
      </c>
    </row>
    <row r="37">
      <c r="A37" s="26" t="s">
        <v>155</v>
      </c>
      <c r="B37" s="27">
        <v>11775.0</v>
      </c>
      <c r="C37" s="27">
        <v>44854.0</v>
      </c>
      <c r="D37" s="27">
        <v>1017.0</v>
      </c>
    </row>
    <row r="38">
      <c r="A38" s="26" t="s">
        <v>157</v>
      </c>
      <c r="B38" s="27">
        <v>10616.0</v>
      </c>
      <c r="C38" s="27">
        <v>42348.0</v>
      </c>
      <c r="D38" s="27">
        <v>1093.0</v>
      </c>
    </row>
    <row r="39">
      <c r="A39" s="26" t="s">
        <v>160</v>
      </c>
      <c r="B39" s="27">
        <v>12422.0</v>
      </c>
      <c r="C39" s="27">
        <v>141226.0</v>
      </c>
      <c r="D39" s="27">
        <v>1211.0</v>
      </c>
    </row>
    <row r="40">
      <c r="A40" s="26" t="s">
        <v>163</v>
      </c>
      <c r="B40" s="27">
        <v>10862.0</v>
      </c>
      <c r="C40" s="27">
        <v>68013.0</v>
      </c>
      <c r="D40" s="27">
        <v>1279.0</v>
      </c>
    </row>
    <row r="41">
      <c r="A41" s="26" t="s">
        <v>165</v>
      </c>
      <c r="B41" s="27">
        <v>10820.0</v>
      </c>
      <c r="C41" s="27">
        <v>54098.0</v>
      </c>
      <c r="D41" s="27">
        <v>1416.0</v>
      </c>
    </row>
    <row r="42">
      <c r="A42" s="26" t="s">
        <v>167</v>
      </c>
      <c r="B42" s="27">
        <v>10191.0</v>
      </c>
      <c r="C42" s="27">
        <v>140829.0</v>
      </c>
      <c r="D42" s="27">
        <v>1618.0</v>
      </c>
    </row>
    <row r="43">
      <c r="A43" s="26" t="s">
        <v>172</v>
      </c>
      <c r="B43" s="27">
        <v>10181.0</v>
      </c>
      <c r="C43" s="27">
        <v>159552.0</v>
      </c>
      <c r="D43" s="27">
        <v>2456.0</v>
      </c>
    </row>
    <row r="44">
      <c r="A44" s="26" t="s">
        <v>175</v>
      </c>
      <c r="B44" s="27">
        <v>10215.0</v>
      </c>
      <c r="C44" s="27">
        <v>111860.0</v>
      </c>
      <c r="D44" s="27">
        <v>2855.0</v>
      </c>
    </row>
    <row r="45">
      <c r="A45" s="26" t="s">
        <v>177</v>
      </c>
      <c r="B45" s="27">
        <v>10320.0</v>
      </c>
      <c r="C45" s="27">
        <v>154861.0</v>
      </c>
      <c r="D45" s="27">
        <v>3167.0</v>
      </c>
    </row>
    <row r="46">
      <c r="A46" s="28"/>
      <c r="B46" s="28"/>
      <c r="C46" s="28"/>
      <c r="D46" s="28"/>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